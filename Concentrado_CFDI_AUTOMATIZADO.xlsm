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ELL\Documents\jorgenunez\EMIRA\"/>
    </mc:Choice>
  </mc:AlternateContent>
  <xr:revisionPtr revIDLastSave="0" documentId="13_ncr:1_{2B0E2C58-3852-448A-AE45-3D2087F84DDE}" xr6:coauthVersionLast="47" xr6:coauthVersionMax="47" xr10:uidLastSave="{00000000-0000-0000-0000-000000000000}"/>
  <bookViews>
    <workbookView xWindow="-108" yWindow="-108" windowWidth="23256" windowHeight="12456" tabRatio="771" activeTab="4" xr2:uid="{00000000-000D-0000-FFFF-FFFF00000000}"/>
  </bookViews>
  <sheets>
    <sheet name="Consulta1" sheetId="35" r:id="rId1"/>
    <sheet name="CFDI" sheetId="36" r:id="rId2"/>
    <sheet name="DASHBOARD" sheetId="33" r:id="rId3"/>
    <sheet name="fabi" sheetId="9" r:id="rId4"/>
    <sheet name="ingresos" sheetId="6" r:id="rId5"/>
    <sheet name="hoja de gastos" sheetId="24" r:id="rId6"/>
    <sheet name="presupuesto" sheetId="23" r:id="rId7"/>
    <sheet name="REGLA DE ORO" sheetId="26" r:id="rId8"/>
    <sheet name="detalle" sheetId="31" r:id="rId9"/>
    <sheet name="concentrado" sheetId="32" r:id="rId10"/>
    <sheet name="tabulador" sheetId="4" r:id="rId11"/>
    <sheet name="Gastos captura" sheetId="34" r:id="rId12"/>
  </sheets>
  <definedNames>
    <definedName name="_xlnm._FilterDatabase" localSheetId="2" hidden="1">fabi!$A$1:$DH$5</definedName>
    <definedName name="DatosExternos_1" localSheetId="1" hidden="1">'CFDI'!$A$1:$CF$19</definedName>
    <definedName name="DatosExternos_1" localSheetId="0" hidden="1">'Consulta1'!$A$1:$T$19</definedName>
    <definedName name="entradas">Tabla9[]</definedName>
    <definedName name="gastos">'hoja de gastos'!$A$2:$E$98</definedName>
    <definedName name="ingresos">ingresos!$A$1:$I$60</definedName>
    <definedName name="RFCList">fabi!$F$2:$F$1000</definedName>
    <definedName name="salidas">Tabla9[]</definedName>
    <definedName name="salidas1">Tabla10[]</definedName>
    <definedName name="SegmentaciónDeDatos_mes">#N/A</definedName>
    <definedName name="SegmentaciónDeDatos_mes1">#N/A</definedName>
    <definedName name="tarifa">tabulador!$A$1:$D$7</definedName>
  </definedNames>
  <calcPr calcId="191029"/>
  <pivotCaches>
    <pivotCache cacheId="13" r:id="rId13"/>
    <pivotCache cacheId="17" r:id="rId14"/>
  </pivotCaches>
  <extLst>
    <ext xmlns:x14="http://schemas.microsoft.com/office/spreadsheetml/2009/9/main" uri="{BBE1A952-AA13-448e-AADC-164F8A28A991}">
      <x14:slicerCaches>
        <x14:slicerCache r:id="rId15"/>
        <x14:slicerCache r:id="rId1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9" i="6" l="1"/>
  <c r="H27" i="6"/>
  <c r="H26" i="6"/>
  <c r="H25" i="6"/>
  <c r="H24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E7" i="6"/>
  <c r="D7" i="6"/>
  <c r="C7" i="6"/>
  <c r="B7" i="6"/>
  <c r="A7" i="6"/>
  <c r="N1" i="33" a="1"/>
  <c r="N1" i="33" s="1"/>
  <c r="B13" i="33" a="1"/>
  <c r="B13" i="33" s="1"/>
  <c r="C13" i="33" a="1"/>
  <c r="C13" i="33" s="1"/>
  <c r="D13" i="33" a="1"/>
  <c r="D13" i="33" s="1"/>
  <c r="E13" i="33" a="1"/>
  <c r="E13" i="33" s="1"/>
  <c r="F13" i="33" a="1"/>
  <c r="F13" i="33" s="1"/>
  <c r="B14" i="33" a="1"/>
  <c r="B14" i="33" s="1"/>
  <c r="C14" i="33" a="1"/>
  <c r="C14" i="33" s="1"/>
  <c r="D14" i="33" a="1"/>
  <c r="D14" i="33" s="1"/>
  <c r="E14" i="33" a="1"/>
  <c r="E14" i="33" s="1"/>
  <c r="F14" i="33" a="1"/>
  <c r="F14" i="33" s="1"/>
  <c r="B15" i="33" a="1"/>
  <c r="B15" i="33" s="1"/>
  <c r="C15" i="33" a="1"/>
  <c r="C15" i="33" s="1"/>
  <c r="D15" i="33" a="1"/>
  <c r="D15" i="33" s="1"/>
  <c r="E15" i="33" a="1"/>
  <c r="E15" i="33" s="1"/>
  <c r="F15" i="33" a="1"/>
  <c r="F15" i="33" s="1"/>
  <c r="B16" i="33" a="1"/>
  <c r="B16" i="33" s="1"/>
  <c r="C16" i="33" a="1"/>
  <c r="C16" i="33" s="1"/>
  <c r="D16" i="33" a="1"/>
  <c r="D16" i="33" s="1"/>
  <c r="E16" i="33" a="1"/>
  <c r="E16" i="33" s="1"/>
  <c r="F16" i="33" a="1"/>
  <c r="F16" i="33" s="1"/>
  <c r="B17" i="33" a="1"/>
  <c r="B17" i="33" s="1"/>
  <c r="C17" i="33" a="1"/>
  <c r="C17" i="33" s="1"/>
  <c r="D17" i="33" a="1"/>
  <c r="D17" i="33" s="1"/>
  <c r="E17" i="33" a="1"/>
  <c r="E17" i="33" s="1"/>
  <c r="F17" i="33" a="1"/>
  <c r="F17" i="33" s="1"/>
  <c r="B18" i="33" a="1"/>
  <c r="B18" i="33" s="1"/>
  <c r="C18" i="33" a="1"/>
  <c r="C18" i="33" s="1"/>
  <c r="D18" i="33" a="1"/>
  <c r="D18" i="33" s="1"/>
  <c r="E18" i="33" a="1"/>
  <c r="E18" i="33" s="1"/>
  <c r="F18" i="33" a="1"/>
  <c r="F18" i="33" s="1"/>
  <c r="B19" i="33" a="1"/>
  <c r="B19" i="33" s="1"/>
  <c r="C19" i="33" a="1"/>
  <c r="C19" i="33" s="1"/>
  <c r="D19" i="33" a="1"/>
  <c r="D19" i="33" s="1"/>
  <c r="E19" i="33" a="1"/>
  <c r="E19" i="33" s="1"/>
  <c r="F19" i="33" a="1"/>
  <c r="F19" i="33" s="1"/>
  <c r="B20" i="33" a="1"/>
  <c r="B20" i="33" s="1"/>
  <c r="C20" i="33" a="1"/>
  <c r="C20" i="33" s="1"/>
  <c r="D20" i="33" a="1"/>
  <c r="D20" i="33" s="1"/>
  <c r="E20" i="33" a="1"/>
  <c r="E20" i="33" s="1"/>
  <c r="F20" i="33" a="1"/>
  <c r="F20" i="33" s="1"/>
  <c r="B21" i="33" a="1"/>
  <c r="B21" i="33" s="1"/>
  <c r="C21" i="33" a="1"/>
  <c r="C21" i="33" s="1"/>
  <c r="D21" i="33" a="1"/>
  <c r="D21" i="33" s="1"/>
  <c r="E21" i="33" a="1"/>
  <c r="E21" i="33" s="1"/>
  <c r="F21" i="33" a="1"/>
  <c r="F21" i="33" s="1"/>
  <c r="B22" i="33" a="1"/>
  <c r="B22" i="33" s="1"/>
  <c r="C22" i="33" a="1"/>
  <c r="C22" i="33" s="1"/>
  <c r="D22" i="33" a="1"/>
  <c r="D22" i="33" s="1"/>
  <c r="E22" i="33" a="1"/>
  <c r="E22" i="33" s="1"/>
  <c r="F22" i="33" a="1"/>
  <c r="F22" i="33" s="1"/>
  <c r="B23" i="33" a="1"/>
  <c r="B23" i="33" s="1"/>
  <c r="C23" i="33" a="1"/>
  <c r="C23" i="33" s="1"/>
  <c r="D23" i="33" a="1"/>
  <c r="D23" i="33" s="1"/>
  <c r="E23" i="33" a="1"/>
  <c r="E23" i="33" s="1"/>
  <c r="F23" i="33" a="1"/>
  <c r="F23" i="33" s="1"/>
  <c r="F12" i="33" a="1"/>
  <c r="F12" i="33" s="1"/>
  <c r="E8" i="33" s="1"/>
  <c r="E12" i="33" a="1"/>
  <c r="E12" i="33" s="1"/>
  <c r="D12" i="33" a="1"/>
  <c r="D12" i="33" s="1"/>
  <c r="C12" i="33" a="1"/>
  <c r="C12" i="33" s="1"/>
  <c r="B12" i="33" a="1"/>
  <c r="B12" i="33" s="1"/>
  <c r="A8" i="33" s="1"/>
  <c r="I8" i="34"/>
  <c r="I7" i="34"/>
  <c r="I6" i="34"/>
  <c r="I9" i="34" s="1"/>
  <c r="J6" i="34" s="1"/>
  <c r="E64" i="31"/>
  <c r="C64" i="31"/>
  <c r="E63" i="31"/>
  <c r="C63" i="31"/>
  <c r="E62" i="31"/>
  <c r="C62" i="31"/>
  <c r="E61" i="31"/>
  <c r="E5" i="31" s="1"/>
  <c r="C61" i="31"/>
  <c r="C60" i="31"/>
  <c r="C59" i="31"/>
  <c r="C58" i="31"/>
  <c r="C57" i="31"/>
  <c r="C56" i="31"/>
  <c r="C55" i="31"/>
  <c r="C54" i="31"/>
  <c r="C53" i="31"/>
  <c r="C52" i="31"/>
  <c r="C51" i="31"/>
  <c r="C50" i="31"/>
  <c r="C49" i="31"/>
  <c r="C48" i="31"/>
  <c r="C47" i="31"/>
  <c r="C46" i="31"/>
  <c r="C45" i="31"/>
  <c r="C44" i="31"/>
  <c r="C43" i="31"/>
  <c r="C42" i="31"/>
  <c r="C41" i="31"/>
  <c r="C40" i="31"/>
  <c r="C39" i="31"/>
  <c r="C38" i="31"/>
  <c r="C37" i="31"/>
  <c r="C36" i="31"/>
  <c r="C35" i="31"/>
  <c r="C34" i="31"/>
  <c r="C33" i="31"/>
  <c r="C32" i="31"/>
  <c r="C31" i="31"/>
  <c r="C30" i="31"/>
  <c r="I29" i="31"/>
  <c r="C29" i="31"/>
  <c r="C28" i="31"/>
  <c r="C27" i="31"/>
  <c r="C26" i="31"/>
  <c r="C25" i="31"/>
  <c r="C24" i="31"/>
  <c r="C23" i="31"/>
  <c r="C22" i="31"/>
  <c r="C21" i="31"/>
  <c r="C20" i="31"/>
  <c r="I19" i="31"/>
  <c r="C19" i="31"/>
  <c r="C18" i="31"/>
  <c r="C17" i="31"/>
  <c r="I16" i="31"/>
  <c r="C16" i="31"/>
  <c r="L4" i="32" s="1"/>
  <c r="C15" i="31"/>
  <c r="J14" i="31"/>
  <c r="I14" i="31"/>
  <c r="I21" i="31" s="1"/>
  <c r="C14" i="31"/>
  <c r="I13" i="31"/>
  <c r="I20" i="31" s="1"/>
  <c r="C13" i="31"/>
  <c r="I12" i="31"/>
  <c r="C12" i="31"/>
  <c r="J11" i="31"/>
  <c r="I11" i="31"/>
  <c r="I18" i="31" s="1"/>
  <c r="C11" i="31"/>
  <c r="I10" i="31"/>
  <c r="I17" i="31" s="1"/>
  <c r="H10" i="31"/>
  <c r="D10" i="31"/>
  <c r="D11" i="31" s="1"/>
  <c r="D12" i="31" s="1"/>
  <c r="D13" i="31" s="1"/>
  <c r="D14" i="31" s="1"/>
  <c r="D15" i="31" s="1"/>
  <c r="D16" i="31" s="1"/>
  <c r="D17" i="31" s="1"/>
  <c r="C10" i="31"/>
  <c r="I9" i="31"/>
  <c r="H9" i="31"/>
  <c r="D9" i="31"/>
  <c r="C9" i="31"/>
  <c r="J8" i="31"/>
  <c r="I8" i="31"/>
  <c r="I15" i="31" s="1"/>
  <c r="C8" i="31"/>
  <c r="M4" i="32" s="1"/>
  <c r="G29" i="23"/>
  <c r="C28" i="23"/>
  <c r="K26" i="23"/>
  <c r="G26" i="23"/>
  <c r="C26" i="23"/>
  <c r="C25" i="23"/>
  <c r="C24" i="23"/>
  <c r="C23" i="23"/>
  <c r="C22" i="23"/>
  <c r="C21" i="23"/>
  <c r="C20" i="23"/>
  <c r="C17" i="23"/>
  <c r="C16" i="23"/>
  <c r="E93" i="24"/>
  <c r="D93" i="24"/>
  <c r="D94" i="24" s="1"/>
  <c r="E90" i="24"/>
  <c r="D90" i="24"/>
  <c r="K24" i="23" s="1"/>
  <c r="D89" i="24"/>
  <c r="E88" i="24"/>
  <c r="E85" i="24"/>
  <c r="E84" i="24"/>
  <c r="E83" i="24"/>
  <c r="E82" i="24"/>
  <c r="E81" i="24" s="1"/>
  <c r="D81" i="24"/>
  <c r="K25" i="23" s="1"/>
  <c r="E80" i="24"/>
  <c r="E75" i="24"/>
  <c r="E74" i="24"/>
  <c r="D74" i="24"/>
  <c r="D61" i="24"/>
  <c r="D58" i="24"/>
  <c r="D68" i="24" s="1"/>
  <c r="E56" i="24"/>
  <c r="D56" i="24"/>
  <c r="G37" i="23" s="1"/>
  <c r="D49" i="24"/>
  <c r="D44" i="24"/>
  <c r="E44" i="24" s="1"/>
  <c r="D39" i="24"/>
  <c r="J10" i="31" s="1"/>
  <c r="E38" i="24"/>
  <c r="D38" i="24"/>
  <c r="D37" i="24"/>
  <c r="E37" i="24" s="1"/>
  <c r="E39" i="24" s="1"/>
  <c r="D35" i="24"/>
  <c r="J9" i="31" s="1"/>
  <c r="E34" i="24"/>
  <c r="E32" i="24"/>
  <c r="E31" i="24"/>
  <c r="E29" i="24"/>
  <c r="E28" i="24"/>
  <c r="E25" i="24"/>
  <c r="E24" i="24"/>
  <c r="E23" i="24"/>
  <c r="E22" i="24"/>
  <c r="E21" i="24"/>
  <c r="E20" i="24"/>
  <c r="E19" i="24"/>
  <c r="D18" i="24"/>
  <c r="E18" i="24" s="1"/>
  <c r="E35" i="24" s="1"/>
  <c r="D16" i="24"/>
  <c r="D45" i="24" s="1"/>
  <c r="E15" i="24"/>
  <c r="E14" i="24"/>
  <c r="E13" i="24"/>
  <c r="D13" i="24"/>
  <c r="E12" i="24"/>
  <c r="E11" i="24"/>
  <c r="D11" i="24"/>
  <c r="C19" i="23" s="1"/>
  <c r="E10" i="24"/>
  <c r="E9" i="24"/>
  <c r="E8" i="24"/>
  <c r="E16" i="24" s="1"/>
  <c r="G54" i="6"/>
  <c r="G53" i="6"/>
  <c r="G52" i="6"/>
  <c r="I45" i="6"/>
  <c r="I42" i="6"/>
  <c r="G23" i="6"/>
  <c r="G33" i="6" s="1"/>
  <c r="D5" i="6"/>
  <c r="R5" i="9"/>
  <c r="R4" i="9"/>
  <c r="R3" i="9"/>
  <c r="R2" i="9"/>
  <c r="I19" i="6" s="1"/>
  <c r="F58" i="32"/>
  <c r="K8" i="33" l="1"/>
  <c r="J29" i="31"/>
  <c r="E7" i="26"/>
  <c r="E5" i="26"/>
  <c r="E45" i="24"/>
  <c r="J13" i="31"/>
  <c r="K40" i="23"/>
  <c r="J5" i="31"/>
  <c r="E89" i="24"/>
  <c r="E94" i="24" s="1"/>
  <c r="D56" i="23"/>
  <c r="L29" i="23"/>
  <c r="J7" i="34"/>
  <c r="D48" i="23"/>
  <c r="E95" i="24"/>
  <c r="E96" i="24" s="1"/>
  <c r="J8" i="34"/>
  <c r="B8" i="33"/>
  <c r="C8" i="33"/>
  <c r="I27" i="6"/>
  <c r="F4" i="32"/>
  <c r="N4" i="32"/>
  <c r="D8" i="33"/>
  <c r="I12" i="6"/>
  <c r="I16" i="6"/>
  <c r="I20" i="6"/>
  <c r="G4" i="32"/>
  <c r="J5" i="32"/>
  <c r="G17" i="23"/>
  <c r="D30" i="23" s="1"/>
  <c r="J12" i="31"/>
  <c r="H4" i="32"/>
  <c r="I9" i="6"/>
  <c r="I13" i="6"/>
  <c r="I17" i="6"/>
  <c r="I21" i="6"/>
  <c r="I4" i="32"/>
  <c r="L5" i="32"/>
  <c r="L6" i="32" s="1"/>
  <c r="C24" i="33"/>
  <c r="H11" i="31"/>
  <c r="J4" i="32"/>
  <c r="I10" i="6"/>
  <c r="I14" i="6"/>
  <c r="I18" i="6"/>
  <c r="D75" i="24"/>
  <c r="C4" i="32"/>
  <c r="K4" i="32"/>
  <c r="K7" i="33"/>
  <c r="D4" i="32"/>
  <c r="I11" i="6"/>
  <c r="I15" i="6"/>
  <c r="E4" i="32"/>
  <c r="E24" i="33" l="1"/>
  <c r="B24" i="33"/>
  <c r="D24" i="33"/>
  <c r="F24" i="33"/>
  <c r="D50" i="23"/>
  <c r="E6" i="26"/>
  <c r="I29" i="6"/>
  <c r="I26" i="6"/>
  <c r="G5" i="32"/>
  <c r="G6" i="32" s="1"/>
  <c r="N5" i="32"/>
  <c r="N6" i="32" s="1"/>
  <c r="F5" i="32"/>
  <c r="F6" i="32" s="1"/>
  <c r="I25" i="6"/>
  <c r="H7" i="6"/>
  <c r="H52" i="6" s="1"/>
  <c r="I8" i="6"/>
  <c r="I7" i="6" s="1"/>
  <c r="I24" i="6"/>
  <c r="H23" i="6"/>
  <c r="H28" i="6" s="1"/>
  <c r="D76" i="24"/>
  <c r="E5" i="32"/>
  <c r="E6" i="32" s="1"/>
  <c r="D5" i="32"/>
  <c r="D6" i="32" s="1"/>
  <c r="K5" i="32"/>
  <c r="K6" i="32" s="1"/>
  <c r="H5" i="32"/>
  <c r="H6" i="32" s="1"/>
  <c r="J6" i="32"/>
  <c r="C5" i="32"/>
  <c r="O5" i="32" s="1"/>
  <c r="I5" i="32"/>
  <c r="I6" i="32" s="1"/>
  <c r="O4" i="32"/>
  <c r="M5" i="32"/>
  <c r="M6" i="32" s="1"/>
  <c r="H54" i="6" l="1"/>
  <c r="H53" i="6"/>
  <c r="H51" i="6" s="1"/>
  <c r="I28" i="6"/>
  <c r="I30" i="6" s="1"/>
  <c r="H30" i="6"/>
  <c r="H33" i="6" s="1"/>
  <c r="C6" i="32"/>
  <c r="I23" i="6"/>
  <c r="D97" i="24"/>
  <c r="D95" i="24"/>
  <c r="E76" i="24"/>
  <c r="E11" i="26"/>
  <c r="H22" i="6"/>
  <c r="I22" i="6" l="1"/>
  <c r="H47" i="6"/>
  <c r="I47" i="6" s="1"/>
  <c r="H32" i="6"/>
  <c r="E7" i="23"/>
  <c r="I33" i="6"/>
  <c r="C7" i="32"/>
  <c r="D7" i="32" s="1"/>
  <c r="E7" i="32" s="1"/>
  <c r="F7" i="32" s="1"/>
  <c r="G7" i="32" s="1"/>
  <c r="H7" i="32" s="1"/>
  <c r="I7" i="32" s="1"/>
  <c r="J7" i="32" s="1"/>
  <c r="K7" i="32" s="1"/>
  <c r="L7" i="32" s="1"/>
  <c r="M7" i="32" s="1"/>
  <c r="N7" i="32" s="1"/>
  <c r="O6" i="32"/>
  <c r="E11" i="23" l="1"/>
  <c r="D78" i="24"/>
  <c r="H34" i="6"/>
  <c r="H35" i="6" s="1"/>
  <c r="H49" i="6"/>
  <c r="I49" i="6" s="1"/>
  <c r="H40" i="6"/>
  <c r="C11" i="26"/>
  <c r="I32" i="6"/>
  <c r="H37" i="6"/>
  <c r="H38" i="6" s="1"/>
  <c r="D5" i="24"/>
  <c r="D47" i="24"/>
  <c r="C8" i="26" l="1"/>
  <c r="C5" i="26"/>
  <c r="C6" i="26"/>
  <c r="C10" i="26"/>
  <c r="C9" i="26"/>
  <c r="C7" i="26"/>
  <c r="F7" i="26"/>
  <c r="F5" i="26"/>
  <c r="F6" i="26"/>
  <c r="H36" i="6"/>
  <c r="H39" i="6" s="1"/>
  <c r="H41" i="6" s="1"/>
  <c r="B53" i="23"/>
  <c r="D55" i="23"/>
  <c r="A55" i="23" s="1"/>
  <c r="A30" i="23"/>
  <c r="M29" i="23"/>
  <c r="A48" i="23"/>
  <c r="F11" i="26" l="1"/>
  <c r="H6" i="26"/>
  <c r="D6" i="26"/>
  <c r="G6" i="26" s="1"/>
  <c r="H43" i="6"/>
  <c r="I43" i="6" s="1"/>
  <c r="I41" i="6"/>
  <c r="D5" i="26"/>
  <c r="C18" i="26"/>
  <c r="C17" i="26"/>
  <c r="H5" i="26"/>
  <c r="H11" i="26" s="1"/>
  <c r="C13" i="26"/>
  <c r="H7" i="26"/>
  <c r="D7" i="26"/>
  <c r="G7" i="26" s="1"/>
  <c r="E53" i="23"/>
  <c r="A53" i="23" s="1"/>
  <c r="A56" i="23"/>
  <c r="A50" i="23"/>
  <c r="D8" i="26"/>
  <c r="K53" i="23" l="1"/>
  <c r="L53" i="23" s="1"/>
  <c r="D11" i="26"/>
  <c r="G5" i="26"/>
  <c r="G11" i="2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365A611-B66D-49F7-8A12-F6EE068DE78E}" keepAlive="1" name="Consulta - CFDI" description="Conexión a la consulta 'CFDI' en el libro." type="5" refreshedVersion="7" background="1" saveData="1">
    <dbPr connection="Provider=Microsoft.Mashup.OleDb.1;Data Source=$Workbook$;Location=CFDI;Extended Properties=&quot;&quot;" command="SELECT * FROM [CFDI]"/>
  </connection>
  <connection id="2" xr16:uid="{1803B582-0593-4598-9A62-3C85AE447B7C}" keepAlive="1" name="Consulta - Consulta1" description="Conexión a la consulta 'Consulta1' en el libro." type="5" refreshedVersion="7" background="1" saveData="1">
    <dbPr connection="Provider=Microsoft.Mashup.OleDb.1;Data Source=$Workbook$;Location=Consulta1;Extended Properties=&quot;&quot;" command="SELECT * FROM [Consulta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<sst xmlns="http://schemas.openxmlformats.org/spreadsheetml/2006/main" count="1594" uniqueCount="675">
  <si>
    <t>Estatus</t>
  </si>
  <si>
    <t>RFC Receptor</t>
  </si>
  <si>
    <t>CONCEPTOS</t>
  </si>
  <si>
    <t>TOTAL DEDUCCIONES</t>
  </si>
  <si>
    <t>limite inferior</t>
  </si>
  <si>
    <t>excedente lim.inferior</t>
  </si>
  <si>
    <t>impuesto marginal</t>
  </si>
  <si>
    <t>cuota fija</t>
  </si>
  <si>
    <t>TOTAL  ISR</t>
  </si>
  <si>
    <t>Tipo de Comprobante</t>
  </si>
  <si>
    <t>lim.inferior</t>
  </si>
  <si>
    <t>lim.superior</t>
  </si>
  <si>
    <t>c.f</t>
  </si>
  <si>
    <t>%</t>
  </si>
  <si>
    <t>tasa de ISR  %</t>
  </si>
  <si>
    <t>ISR A PAGAR</t>
  </si>
  <si>
    <t>SEPT</t>
  </si>
  <si>
    <t>OCT</t>
  </si>
  <si>
    <t>NOV</t>
  </si>
  <si>
    <t>DIC</t>
  </si>
  <si>
    <t>ENE</t>
  </si>
  <si>
    <t>FEB</t>
  </si>
  <si>
    <t>MZO</t>
  </si>
  <si>
    <t>ABR</t>
  </si>
  <si>
    <t>MAY</t>
  </si>
  <si>
    <t>JUN</t>
  </si>
  <si>
    <t>JUL</t>
  </si>
  <si>
    <t>AGO</t>
  </si>
  <si>
    <t>INGRESOS COBRADOS DEL MES</t>
  </si>
  <si>
    <t>PAGO PROVISIONAL MENSUAL</t>
  </si>
  <si>
    <t>En adelante</t>
  </si>
  <si>
    <t>Moneda</t>
  </si>
  <si>
    <t>RETENCION DE ISR</t>
  </si>
  <si>
    <t>Serie</t>
  </si>
  <si>
    <t>Folio</t>
  </si>
  <si>
    <t>Nómina</t>
  </si>
  <si>
    <t>honorarios del contador 5% sobre el ingreso</t>
  </si>
  <si>
    <t>retencion de isr 1.25% sobre el ingreso</t>
  </si>
  <si>
    <t>PAGOS</t>
  </si>
  <si>
    <t>TOTAL</t>
  </si>
  <si>
    <t>RFC</t>
  </si>
  <si>
    <t>CURP</t>
  </si>
  <si>
    <t>NSS</t>
  </si>
  <si>
    <t>SBC</t>
  </si>
  <si>
    <t>SDI</t>
  </si>
  <si>
    <t>N°</t>
  </si>
  <si>
    <t>UUID</t>
  </si>
  <si>
    <t>Fecha Emisión</t>
  </si>
  <si>
    <t>Fecha Timbrado</t>
  </si>
  <si>
    <t>Versión</t>
  </si>
  <si>
    <t>Razón Social Emisor</t>
  </si>
  <si>
    <t>Régimen Fiscal</t>
  </si>
  <si>
    <t>PACCertificador</t>
  </si>
  <si>
    <t>Lugar Expedición</t>
  </si>
  <si>
    <t>Método de Pago</t>
  </si>
  <si>
    <t>Tipo Nómina</t>
  </si>
  <si>
    <t>Fecha de Pago</t>
  </si>
  <si>
    <t>Total de Deducciones</t>
  </si>
  <si>
    <t>Total de Otros Pagos</t>
  </si>
  <si>
    <t>Registro Patronal (Emisor Nom)</t>
  </si>
  <si>
    <t>Curp (Receptor Nom)</t>
  </si>
  <si>
    <t>NumSeguridadSocial (Receptor Nom)</t>
  </si>
  <si>
    <t>Antigüedad (Receptor Nom)</t>
  </si>
  <si>
    <t>TipoJornada (Receptor Nom)</t>
  </si>
  <si>
    <t>TipoRegimen (Receptor Nom)</t>
  </si>
  <si>
    <t>NumEmpleado (Receptor Nom)</t>
  </si>
  <si>
    <t>RiesgoPuesto (Receptor Nom)</t>
  </si>
  <si>
    <t>PeriodicidadPago (Receptor Nom)</t>
  </si>
  <si>
    <t>Banco (Receptor Nom)</t>
  </si>
  <si>
    <t>CuentaBancaria (Receptor Nom)</t>
  </si>
  <si>
    <t>SalarioBaseCotApor (Receptor Nom)</t>
  </si>
  <si>
    <t>SalarioDiarioIntegrado (Receptor Nom)</t>
  </si>
  <si>
    <t>019 - HORAS EXTRAS DOBLES | Exento</t>
  </si>
  <si>
    <t>020 - Prima Dominical |  Gravado</t>
  </si>
  <si>
    <t>020 - Prima Dominical | Exento</t>
  </si>
  <si>
    <t>001 - SUELDO ORDINARIO |  Gravado</t>
  </si>
  <si>
    <t>001 - SUELDO ORDINARIO | Exento</t>
  </si>
  <si>
    <t>010 - BONO PUNTUALIDAD |  Gravado</t>
  </si>
  <si>
    <t>010 - BONO PUNTUALIDAD | Exento</t>
  </si>
  <si>
    <t>005 - ApFondo Ahorro Empr |  Gravado</t>
  </si>
  <si>
    <t>005 - ApFondo Ahorro Empr | Exento</t>
  </si>
  <si>
    <t>PERCEPCIÓNES</t>
  </si>
  <si>
    <t>002 - Subsidio para el Empleo</t>
  </si>
  <si>
    <t>999 - Ajuste de Moneda</t>
  </si>
  <si>
    <t>007 - ISR Ajustado por Subsidio</t>
  </si>
  <si>
    <t>004 - ISPT a Compensar</t>
  </si>
  <si>
    <t xml:space="preserve">OTROS PAGOS -  Subsidio Causado </t>
  </si>
  <si>
    <t xml:space="preserve">OTROS PAGOS -  Saldo Favor </t>
  </si>
  <si>
    <t xml:space="preserve">OTROS PAGOS -  Año </t>
  </si>
  <si>
    <t xml:space="preserve">OTROS PAGOS -  Remanente Saldo Favor </t>
  </si>
  <si>
    <t>OTROS PAGOS</t>
  </si>
  <si>
    <t>002 - I S P T</t>
  </si>
  <si>
    <t>007 - Pension Alimenticia</t>
  </si>
  <si>
    <t>011 - Pago de abonos FONACOT</t>
  </si>
  <si>
    <t>101 - ISPT A CARGO</t>
  </si>
  <si>
    <t>107 - Ajuste al Subsidio Causado</t>
  </si>
  <si>
    <t>010 - Apor  Crédito INFONAVIT</t>
  </si>
  <si>
    <t>021 - Aport IMSS trabajad</t>
  </si>
  <si>
    <t>009 - Prestamos provenientes del Fondo Nacional de la Vivienda para los Trabajadores</t>
  </si>
  <si>
    <t>DEDUCCIONES</t>
  </si>
  <si>
    <t xml:space="preserve">02 -  Días de Incapacidad:  </t>
  </si>
  <si>
    <t>INCAPACIDADES</t>
  </si>
  <si>
    <t>NETO</t>
  </si>
  <si>
    <t>1</t>
  </si>
  <si>
    <t/>
  </si>
  <si>
    <t>4.0</t>
  </si>
  <si>
    <t>VIGENTE</t>
  </si>
  <si>
    <t>PUE-Pago en una sola exhibición</t>
  </si>
  <si>
    <t>Peso Mexicano</t>
  </si>
  <si>
    <t>O-Nómina ordinaria</t>
  </si>
  <si>
    <t>7</t>
  </si>
  <si>
    <t>02-Sueldos (Incluye ingresos señalados en la fracción I del artículo 94 de LISR)</t>
  </si>
  <si>
    <t>02-Semanal</t>
  </si>
  <si>
    <t>3</t>
  </si>
  <si>
    <t>6</t>
  </si>
  <si>
    <t>10</t>
  </si>
  <si>
    <t>2</t>
  </si>
  <si>
    <t>623-Opcional para Grupos de Sociedades</t>
  </si>
  <si>
    <t>INT020124V62</t>
  </si>
  <si>
    <t>CFDI</t>
  </si>
  <si>
    <t>19/07/2021 12:00:00 a. m.</t>
  </si>
  <si>
    <t>01-Diurna</t>
  </si>
  <si>
    <t>3-Clase III</t>
  </si>
  <si>
    <t>127</t>
  </si>
  <si>
    <t>4</t>
  </si>
  <si>
    <t>5</t>
  </si>
  <si>
    <t>30</t>
  </si>
  <si>
    <t>8</t>
  </si>
  <si>
    <t>12</t>
  </si>
  <si>
    <t>13</t>
  </si>
  <si>
    <t>14</t>
  </si>
  <si>
    <t>20</t>
  </si>
  <si>
    <t>21</t>
  </si>
  <si>
    <t>26</t>
  </si>
  <si>
    <t>29</t>
  </si>
  <si>
    <t>31</t>
  </si>
  <si>
    <t>P76W</t>
  </si>
  <si>
    <t>2022</t>
  </si>
  <si>
    <t>P78W</t>
  </si>
  <si>
    <t>25/01/2023 10:50:10 p. m.</t>
  </si>
  <si>
    <t>25/01/2023 12:00:00 a. m.</t>
  </si>
  <si>
    <t>4338.46</t>
  </si>
  <si>
    <t>594.27</t>
  </si>
  <si>
    <t>18/01/2023 08:47:12 p. m.</t>
  </si>
  <si>
    <t>18/01/2023 12:00:00 a. m.</t>
  </si>
  <si>
    <t>P77W</t>
  </si>
  <si>
    <t>3556.23</t>
  </si>
  <si>
    <t>11/01/2023 10:51:06 p. m.</t>
  </si>
  <si>
    <t>11/01/2023 12:00:00 a. m.</t>
  </si>
  <si>
    <t>3356.78</t>
  </si>
  <si>
    <t>04/01/2023 11:39:39 p. m.</t>
  </si>
  <si>
    <t>04/01/2023 12:00:00 a. m.</t>
  </si>
  <si>
    <t>P75W</t>
  </si>
  <si>
    <t>3556.16</t>
  </si>
  <si>
    <t>002 - AGUINALDO |  Gravado</t>
  </si>
  <si>
    <t>002 - AGUINALDO | Exento</t>
  </si>
  <si>
    <t xml:space="preserve">     REGIMEN SUELDOS Y SALARIOS E ING ASIMILADOS</t>
  </si>
  <si>
    <t>INICIO RL</t>
  </si>
  <si>
    <t>IMSS</t>
  </si>
  <si>
    <t>ISPT</t>
  </si>
  <si>
    <t>FONDO AHORRO</t>
  </si>
  <si>
    <t>PORCENTAJE DE DEDUCCIONES vs Ingresos</t>
  </si>
  <si>
    <t>049 - BONO DE ASISTENCIA |  Gravado</t>
  </si>
  <si>
    <t>049 - BONO DE ASISTENCIA | Exento</t>
  </si>
  <si>
    <t>003 - P T U Exento |  Gravado</t>
  </si>
  <si>
    <t>003 - P T U Exento | Exento</t>
  </si>
  <si>
    <t>029 - Vales Despensa |  Gravado</t>
  </si>
  <si>
    <t>029 - Vales Despensa | Exento</t>
  </si>
  <si>
    <t>028 - COMISIÓN COMPLEMENTARIA |  Gravado</t>
  </si>
  <si>
    <t>028 - COMISIÓN COMPLEMENTARIA | Exento</t>
  </si>
  <si>
    <t>038 - Gratificaciones |  Gravado</t>
  </si>
  <si>
    <t>038 - Gratificaciones | Exento</t>
  </si>
  <si>
    <t>021 - Prima Vac Exento Fijo |  Gravado</t>
  </si>
  <si>
    <t>021 - Prima Vac Exento Fijo | Exento</t>
  </si>
  <si>
    <t>004 - Ajuste de Moneda</t>
  </si>
  <si>
    <t>001 - Aportación trabaj  IMSS</t>
  </si>
  <si>
    <t>018 - Ahorro a la Vista SCYF</t>
  </si>
  <si>
    <t>268</t>
  </si>
  <si>
    <t>271</t>
  </si>
  <si>
    <t>273</t>
  </si>
  <si>
    <t>274</t>
  </si>
  <si>
    <t>despensa</t>
  </si>
  <si>
    <t>Presupuesto Mensual</t>
  </si>
  <si>
    <t>Sólo llena los campos que apliquen a tus finanzas</t>
  </si>
  <si>
    <t>Mes:</t>
  </si>
  <si>
    <t>Noviembre</t>
  </si>
  <si>
    <t>Enero</t>
  </si>
  <si>
    <t>Febrero</t>
  </si>
  <si>
    <t>DINERO QUE TIENES MENSUALMENTE</t>
  </si>
  <si>
    <t>Abril</t>
  </si>
  <si>
    <t>Concepto</t>
  </si>
  <si>
    <t>Monto $</t>
  </si>
  <si>
    <t>Mayo</t>
  </si>
  <si>
    <t xml:space="preserve">Salario 1 </t>
  </si>
  <si>
    <t xml:space="preserve">Negocio propio </t>
  </si>
  <si>
    <t>Junio</t>
  </si>
  <si>
    <t xml:space="preserve">Salario 2 </t>
  </si>
  <si>
    <t>Julio</t>
  </si>
  <si>
    <t xml:space="preserve">Honorarios </t>
  </si>
  <si>
    <t>Agosto</t>
  </si>
  <si>
    <t>Septiembre</t>
  </si>
  <si>
    <t>Total de ingresos</t>
  </si>
  <si>
    <t>Octubre</t>
  </si>
  <si>
    <t>Concepto / Gasto</t>
  </si>
  <si>
    <t>Monto</t>
  </si>
  <si>
    <t>Diciembre</t>
  </si>
  <si>
    <t>Casa</t>
  </si>
  <si>
    <t>Automóvil</t>
  </si>
  <si>
    <t>Salud</t>
  </si>
  <si>
    <t xml:space="preserve">Renta </t>
  </si>
  <si>
    <t xml:space="preserve">Gasolina </t>
  </si>
  <si>
    <t>Seguro de auto</t>
  </si>
  <si>
    <t>Transporte público (iglesia)</t>
  </si>
  <si>
    <t>Seguro de casa</t>
  </si>
  <si>
    <t xml:space="preserve"> </t>
  </si>
  <si>
    <t>Servicios</t>
  </si>
  <si>
    <t xml:space="preserve">Otros </t>
  </si>
  <si>
    <t>Seguro de vida</t>
  </si>
  <si>
    <t>Gas</t>
  </si>
  <si>
    <t>Personales</t>
  </si>
  <si>
    <t>Seguro médico</t>
  </si>
  <si>
    <t xml:space="preserve">Luz </t>
  </si>
  <si>
    <t>Higiene personal</t>
  </si>
  <si>
    <t>Mascotas</t>
  </si>
  <si>
    <t xml:space="preserve">Teléfono </t>
  </si>
  <si>
    <t>Recargas cel o plan</t>
  </si>
  <si>
    <t>Alimento</t>
  </si>
  <si>
    <t>Iglesia (contribución)</t>
  </si>
  <si>
    <t>Otros</t>
  </si>
  <si>
    <t>Deudas</t>
  </si>
  <si>
    <t xml:space="preserve">Agua </t>
  </si>
  <si>
    <t>Hijos</t>
  </si>
  <si>
    <t xml:space="preserve">Prestamo personal </t>
  </si>
  <si>
    <t xml:space="preserve">Predial </t>
  </si>
  <si>
    <t xml:space="preserve">Colegiaturas </t>
  </si>
  <si>
    <t xml:space="preserve">Tarjeta de crédito1 </t>
  </si>
  <si>
    <t xml:space="preserve">Tarjeta de crédito2 </t>
  </si>
  <si>
    <t>Alimentos</t>
  </si>
  <si>
    <t xml:space="preserve">Celular </t>
  </si>
  <si>
    <t xml:space="preserve">Crédito automotriz </t>
  </si>
  <si>
    <t xml:space="preserve">Clases extra </t>
  </si>
  <si>
    <t>Préstamo de consumo</t>
  </si>
  <si>
    <t>Total Gastos Fijos</t>
  </si>
  <si>
    <t>Dinero</t>
  </si>
  <si>
    <t>Recurso</t>
  </si>
  <si>
    <t>Reparaciones</t>
  </si>
  <si>
    <t xml:space="preserve">Cine / Teatro </t>
  </si>
  <si>
    <t>Ropa</t>
  </si>
  <si>
    <t>Productos de limpieza</t>
  </si>
  <si>
    <t>Salud (Medicina)</t>
  </si>
  <si>
    <t>Otros(electronica/linea bca)</t>
  </si>
  <si>
    <t>Fiesta / Bar</t>
  </si>
  <si>
    <t>Cosméticos</t>
  </si>
  <si>
    <t>Tintorería</t>
  </si>
  <si>
    <t xml:space="preserve">Mantenimiento  </t>
  </si>
  <si>
    <t xml:space="preserve">Estacionamiento </t>
  </si>
  <si>
    <t>Libros / Útiles</t>
  </si>
  <si>
    <t>Hotel</t>
  </si>
  <si>
    <t>Juguetes / Juegos</t>
  </si>
  <si>
    <t>Veterinario</t>
  </si>
  <si>
    <t>Transporte</t>
  </si>
  <si>
    <t>Juguetes</t>
  </si>
  <si>
    <t>Comidas</t>
  </si>
  <si>
    <t>Paseos</t>
  </si>
  <si>
    <t xml:space="preserve">Entretenimiento </t>
  </si>
  <si>
    <t>Cigarros</t>
  </si>
  <si>
    <t>Café / bebidas / Golosinas</t>
  </si>
  <si>
    <t>Total Gastos Variables</t>
  </si>
  <si>
    <t>Total de Gastos (Fijos + Variables)</t>
  </si>
  <si>
    <t>Tengo (Total de ingresos)</t>
  </si>
  <si>
    <t xml:space="preserve">Podré pagar (Capacidad de pago) </t>
  </si>
  <si>
    <t>Dinero que podrías destinar para deudas</t>
  </si>
  <si>
    <r>
      <t>Recuerda que tus deudas no deben superar el "</t>
    </r>
    <r>
      <rPr>
        <b/>
        <i/>
        <sz val="9"/>
        <color theme="1" tint="0.499984740745262"/>
        <rFont val="Avenir Black"/>
      </rPr>
      <t>Dinero que podrías destinar para deudas</t>
    </r>
    <r>
      <rPr>
        <i/>
        <sz val="9"/>
        <color theme="1" tint="0.499984740745262"/>
        <rFont val="Avenir Black"/>
      </rPr>
      <t>" que representa el 30% de tu "</t>
    </r>
    <r>
      <rPr>
        <b/>
        <i/>
        <sz val="9"/>
        <color theme="1" tint="0.499984740745262"/>
        <rFont val="Avenir Black"/>
      </rPr>
      <t>Total de ingresos</t>
    </r>
    <r>
      <rPr>
        <i/>
        <sz val="9"/>
        <color theme="1" tint="0.499984740745262"/>
        <rFont val="Avenir Black"/>
      </rPr>
      <t>".</t>
    </r>
  </si>
  <si>
    <t>Total de deudas</t>
  </si>
  <si>
    <r>
      <t xml:space="preserve">Estas son las acciones que debes tomar dependiendo el color en "Total de deudas":
</t>
    </r>
    <r>
      <rPr>
        <i/>
        <sz val="9"/>
        <color rgb="FF008000"/>
        <rFont val="Avenir Black"/>
      </rPr>
      <t>Verde:</t>
    </r>
    <r>
      <rPr>
        <i/>
        <sz val="9"/>
        <color theme="1" tint="0.499984740745262"/>
        <rFont val="Avenir Black"/>
      </rPr>
      <t xml:space="preserve"> </t>
    </r>
    <r>
      <rPr>
        <i/>
        <sz val="9"/>
        <color theme="1" tint="0.499984740745262"/>
        <rFont val="Avenir Book"/>
      </rPr>
      <t>Estas gastando correctamente en tus deudas.</t>
    </r>
    <r>
      <rPr>
        <i/>
        <sz val="9"/>
        <color theme="1" tint="0.499984740745262"/>
        <rFont val="Avenir Black"/>
      </rPr>
      <t xml:space="preserve">
</t>
    </r>
    <r>
      <rPr>
        <i/>
        <sz val="9"/>
        <color rgb="FFFECC66"/>
        <rFont val="Avenir Black"/>
      </rPr>
      <t>Amarillo:</t>
    </r>
    <r>
      <rPr>
        <i/>
        <sz val="9"/>
        <color theme="1" tint="0.499984740745262"/>
        <rFont val="Avenir Book"/>
      </rPr>
      <t xml:space="preserve"> Cuidado llegaste al 30% y no debes excederte.</t>
    </r>
    <r>
      <rPr>
        <i/>
        <sz val="9"/>
        <color theme="1" tint="0.499984740745262"/>
        <rFont val="Avenir Black"/>
      </rPr>
      <t xml:space="preserve">
</t>
    </r>
    <r>
      <rPr>
        <i/>
        <sz val="9"/>
        <color rgb="FFFF0000"/>
        <rFont val="Avenir Black"/>
      </rPr>
      <t>Rojo:</t>
    </r>
    <r>
      <rPr>
        <i/>
        <sz val="9"/>
        <color theme="1" tint="0.499984740745262"/>
        <rFont val="Avenir Black"/>
      </rPr>
      <t xml:space="preserve"> </t>
    </r>
    <r>
      <rPr>
        <i/>
        <sz val="9"/>
        <color theme="1" tint="0.499984740745262"/>
        <rFont val="Avenir Book"/>
      </rPr>
      <t>Superaste el 40% y no debes endeudarte más.</t>
    </r>
  </si>
  <si>
    <t>GASTOS FIJOS</t>
  </si>
  <si>
    <t>concepto</t>
  </si>
  <si>
    <t>servicios</t>
  </si>
  <si>
    <t>ene</t>
  </si>
  <si>
    <t>total</t>
  </si>
  <si>
    <t>cespt(agua)</t>
  </si>
  <si>
    <t>luz(cfe)</t>
  </si>
  <si>
    <t>gas</t>
  </si>
  <si>
    <t>alimentos</t>
  </si>
  <si>
    <t>transporte</t>
  </si>
  <si>
    <t>GASTOS VARIABLES</t>
  </si>
  <si>
    <t>tarjeta de credito</t>
  </si>
  <si>
    <t>GASTOS TOTALES</t>
  </si>
  <si>
    <t>predial</t>
  </si>
  <si>
    <t>manto privada</t>
  </si>
  <si>
    <t>carrito de verduras</t>
  </si>
  <si>
    <t>Supermercado (despensa)</t>
  </si>
  <si>
    <t>Mercado (rudy)</t>
  </si>
  <si>
    <t>recargas telcel</t>
  </si>
  <si>
    <t>cines</t>
  </si>
  <si>
    <t>cumpleaños</t>
  </si>
  <si>
    <t>Otros(cumpleaños)</t>
  </si>
  <si>
    <t>Otros (eventos Iglesia</t>
  </si>
  <si>
    <t>prestamo</t>
  </si>
  <si>
    <t>Gasto diario (transporte publico)</t>
  </si>
  <si>
    <t>oxxo</t>
  </si>
  <si>
    <t>cpras personales</t>
  </si>
  <si>
    <t>dulfi</t>
  </si>
  <si>
    <t>comida india bonita</t>
  </si>
  <si>
    <t>mercados y congelados</t>
  </si>
  <si>
    <t>coppel</t>
  </si>
  <si>
    <t>otros</t>
  </si>
  <si>
    <t>internet IZZI</t>
  </si>
  <si>
    <t>café de volada</t>
  </si>
  <si>
    <t>salud</t>
  </si>
  <si>
    <t>rudy</t>
  </si>
  <si>
    <t>el semillero</t>
  </si>
  <si>
    <t>piano casio</t>
  </si>
  <si>
    <t>comidas burger king</t>
  </si>
  <si>
    <t>gorditas torreon</t>
  </si>
  <si>
    <t>renta</t>
  </si>
  <si>
    <t>hipoteca</t>
  </si>
  <si>
    <t>AHORRO</t>
  </si>
  <si>
    <t>BASICOS  (indispensables para vivir dignamente)</t>
  </si>
  <si>
    <t>TOTAL BASICOS</t>
  </si>
  <si>
    <t>TOTAL LUJOS</t>
  </si>
  <si>
    <t>calimax</t>
  </si>
  <si>
    <t>oxxo (dulces)</t>
  </si>
  <si>
    <t>pizza little</t>
  </si>
  <si>
    <t xml:space="preserve"> florido:</t>
  </si>
  <si>
    <t>GRAN TOTAL SALIDAS DE DINERO</t>
  </si>
  <si>
    <t>PAGOS DE DEUDAS</t>
  </si>
  <si>
    <t>total1</t>
  </si>
  <si>
    <t>total2</t>
  </si>
  <si>
    <t>Otros Ingresos 1</t>
  </si>
  <si>
    <t>Otros Ingresos 2</t>
  </si>
  <si>
    <t>Otros (hipoteca)</t>
  </si>
  <si>
    <t>Mantto privada</t>
  </si>
  <si>
    <t xml:space="preserve">Internet  </t>
  </si>
  <si>
    <t>Otros (gtos)</t>
  </si>
  <si>
    <t>Gastos medicos (salud)</t>
  </si>
  <si>
    <t>mantenimientos Casa</t>
  </si>
  <si>
    <t xml:space="preserve"> LUJOS (Entretenimiento)</t>
  </si>
  <si>
    <t>LUJOS (Personales)</t>
  </si>
  <si>
    <t>Restaurantes(comidas)</t>
  </si>
  <si>
    <t>Hijos y Emprendimiento</t>
  </si>
  <si>
    <t>LUJOS  Mascotas</t>
  </si>
  <si>
    <t>LUJOS Viajes</t>
  </si>
  <si>
    <t>LUJOS Gastos Hormigas</t>
  </si>
  <si>
    <t>REGLA DE ORO:</t>
  </si>
  <si>
    <t>BASICOS</t>
  </si>
  <si>
    <t>LUJOS</t>
  </si>
  <si>
    <t>CORRECTO</t>
  </si>
  <si>
    <t>REAL</t>
  </si>
  <si>
    <t>5% META 2</t>
  </si>
  <si>
    <t>5% META 3</t>
  </si>
  <si>
    <t>diferencia</t>
  </si>
  <si>
    <t>montos</t>
  </si>
  <si>
    <t>20% DEUDAS (META 1)</t>
  </si>
  <si>
    <t>FONDO DE EMERGENCIA</t>
  </si>
  <si>
    <t>REGLA DE ORO PARA CLASIFICACION DE GASTOS</t>
  </si>
  <si>
    <t>IDEAL 3 meses</t>
  </si>
  <si>
    <t>AMBICIOSO 6 meses</t>
  </si>
  <si>
    <t>LUJOS  (NO  son indispensables, puedes vivir sin ellos)</t>
  </si>
  <si>
    <t>UTIL O PERD FISC DEL MES</t>
  </si>
  <si>
    <t>B</t>
  </si>
  <si>
    <t>porcentajes</t>
  </si>
  <si>
    <t>fecha</t>
  </si>
  <si>
    <t>valor</t>
  </si>
  <si>
    <t>mes</t>
  </si>
  <si>
    <t>salario</t>
  </si>
  <si>
    <t>ingresos</t>
  </si>
  <si>
    <t>egresos</t>
  </si>
  <si>
    <t>entradas</t>
  </si>
  <si>
    <t>salidas</t>
  </si>
  <si>
    <t>saldo</t>
  </si>
  <si>
    <t>saldo acumulado</t>
  </si>
  <si>
    <t>entradas y salidas</t>
  </si>
  <si>
    <t>Suma de valor</t>
  </si>
  <si>
    <t>Etiquetas de fila</t>
  </si>
  <si>
    <t>Total general</t>
  </si>
  <si>
    <t>CONCEPTO</t>
  </si>
  <si>
    <t>Total salario</t>
  </si>
  <si>
    <t>puntualidad gravado</t>
  </si>
  <si>
    <t>asistencia gravado</t>
  </si>
  <si>
    <t>ptu gravado</t>
  </si>
  <si>
    <t>ptu exento</t>
  </si>
  <si>
    <t>aguinaldo gravado</t>
  </si>
  <si>
    <t>aguinaldo exento</t>
  </si>
  <si>
    <t>prima dominical exento</t>
  </si>
  <si>
    <t>sueldo ordinario exento</t>
  </si>
  <si>
    <t>sueldo ordinario gravado</t>
  </si>
  <si>
    <t>comisiones gravadas</t>
  </si>
  <si>
    <t>gratificaciones gravada</t>
  </si>
  <si>
    <t>prima vac gravada</t>
  </si>
  <si>
    <t>prima vac exenta</t>
  </si>
  <si>
    <t>PERCEPCIONES</t>
  </si>
  <si>
    <t>INFONAVIT</t>
  </si>
  <si>
    <t>OTRAS DEDUCCIONES</t>
  </si>
  <si>
    <t>salud y educación</t>
  </si>
  <si>
    <t>medicamentos</t>
  </si>
  <si>
    <t>TOTAL1</t>
  </si>
  <si>
    <t>TOTAL2</t>
  </si>
  <si>
    <t>TOTAL3</t>
  </si>
  <si>
    <t>TOTAL4</t>
  </si>
  <si>
    <t>recreacion</t>
  </si>
  <si>
    <t>total5</t>
  </si>
  <si>
    <t>total6</t>
  </si>
  <si>
    <t>total7</t>
  </si>
  <si>
    <t>Gastaré (Total de gastos para BASICOS)</t>
  </si>
  <si>
    <t>GASTOS FIJOS INDISPENSABLE (no puedes prescindir de ellos) BASICOS</t>
  </si>
  <si>
    <t>GASTOS VARIABLES QUE SÓLO HACES DE VEZ EN CUANDO LUJOS</t>
  </si>
  <si>
    <t>transportes</t>
  </si>
  <si>
    <t>g personales</t>
  </si>
  <si>
    <t>pagos a capital</t>
  </si>
  <si>
    <t>articulos higiene dax</t>
  </si>
  <si>
    <t>escuela de hijos,impresiones</t>
  </si>
  <si>
    <t>farmacias acetona</t>
  </si>
  <si>
    <t>tortillas,pan,bonpane</t>
  </si>
  <si>
    <t>pago deuda</t>
  </si>
  <si>
    <t>banco bbv</t>
  </si>
  <si>
    <t>empeños 1</t>
  </si>
  <si>
    <t>empeños 2</t>
  </si>
  <si>
    <t>juanita</t>
  </si>
  <si>
    <t>libros</t>
  </si>
  <si>
    <t>papa</t>
  </si>
  <si>
    <t>hijo 2</t>
  </si>
  <si>
    <t>mama</t>
  </si>
  <si>
    <t>hijo1</t>
  </si>
  <si>
    <t>pasajes1</t>
  </si>
  <si>
    <t xml:space="preserve"> pasaje2</t>
  </si>
  <si>
    <t>abarrotes pp</t>
  </si>
  <si>
    <t xml:space="preserve"> accesorios,claves,steren</t>
  </si>
  <si>
    <t>TOTAL DEUDAS</t>
  </si>
  <si>
    <t>DASHBOARD — Concentrado CFDI</t>
  </si>
  <si>
    <t>Elige el contribuyente (RFC) y el mes; los indicadores y las gráficas se actualizan solos.</t>
  </si>
  <si>
    <t>Contribuyente (RFC):</t>
  </si>
  <si>
    <t>Ingresos (percepciones)</t>
  </si>
  <si>
    <t>Deducciones</t>
  </si>
  <si>
    <t>Balance (neto)</t>
  </si>
  <si>
    <t>Comprobantes</t>
  </si>
  <si>
    <t>Por revisar</t>
  </si>
  <si>
    <t>Percepciones</t>
  </si>
  <si>
    <t>Mes</t>
  </si>
  <si>
    <t>Neto</t>
  </si>
  <si>
    <t>#mes</t>
  </si>
  <si>
    <t>Gastos — Captura (manual o XML)</t>
  </si>
  <si>
    <t>Agrega los renglones/conceptos que necesites. Marca el Mes (1-12), la Categoria (Basico/Lujo/Ahorro), el Importe y el Origen.</t>
  </si>
  <si>
    <t>Resumen por categoria</t>
  </si>
  <si>
    <t>Categoria</t>
  </si>
  <si>
    <t>Importe</t>
  </si>
  <si>
    <t>Origen</t>
  </si>
  <si>
    <t>Basico</t>
  </si>
  <si>
    <t>Renta / Hipoteca</t>
  </si>
  <si>
    <t>Manual</t>
  </si>
  <si>
    <t>% real</t>
  </si>
  <si>
    <t>Meta</t>
  </si>
  <si>
    <t>Agua (CESPT)</t>
  </si>
  <si>
    <t>Luz (CFE)</t>
  </si>
  <si>
    <t>Lujo</t>
  </si>
  <si>
    <t>Ahorro</t>
  </si>
  <si>
    <t>Internet</t>
  </si>
  <si>
    <t>Telefono / Recargas</t>
  </si>
  <si>
    <t>Mantenimiento privada</t>
  </si>
  <si>
    <t>Predial</t>
  </si>
  <si>
    <t>Despensa / Supermercado</t>
  </si>
  <si>
    <t>Mercado</t>
  </si>
  <si>
    <t>Transporte / Pasajes</t>
  </si>
  <si>
    <t>Salud / Medicamentos</t>
  </si>
  <si>
    <t>Escuela / Colegiaturas</t>
  </si>
  <si>
    <t>Restaurantes / Comidas</t>
  </si>
  <si>
    <t>Cine / Entretenimiento</t>
  </si>
  <si>
    <t>Ropa / Cosmeticos</t>
  </si>
  <si>
    <t>Libros / Cafe / Golosinas</t>
  </si>
  <si>
    <t>Mascotas / Veterinario</t>
  </si>
  <si>
    <t>Viajes / Hotel</t>
  </si>
  <si>
    <t>Cumpleanos / Regalos</t>
  </si>
  <si>
    <t>Tarjeta de credito</t>
  </si>
  <si>
    <t>Prestamo personal</t>
  </si>
  <si>
    <t>Pago a capital / Empenos</t>
  </si>
  <si>
    <t>Ahorro / Fondo emergencia</t>
  </si>
  <si>
    <t>Fecha_Emision</t>
  </si>
  <si>
    <t>Version</t>
  </si>
  <si>
    <t>RFC_Emisor</t>
  </si>
  <si>
    <t>Nombre_Emisor</t>
  </si>
  <si>
    <t>RFC_Receptor</t>
  </si>
  <si>
    <t>Nombre_Receptor</t>
  </si>
  <si>
    <t>Tipo_Comprobante</t>
  </si>
  <si>
    <t>Metodo_Pago</t>
  </si>
  <si>
    <t>Lugar_Expedicion</t>
  </si>
  <si>
    <t>Total</t>
  </si>
  <si>
    <t>Fecha_Pago</t>
  </si>
  <si>
    <t>Otros_Pagos</t>
  </si>
  <si>
    <t>Validacion_RFC</t>
  </si>
  <si>
    <t>7A4A3726-DEB7-40A1-AA12-9C2653AB20FD</t>
  </si>
  <si>
    <t>2026-07-03T11:14:48</t>
  </si>
  <si>
    <t>MBC210723RP9</t>
  </si>
  <si>
    <t>MOTORMAN DE BAJA CALIFORNIA</t>
  </si>
  <si>
    <t>NULJ770313CL7</t>
  </si>
  <si>
    <t>JORGE NUÑEZ LOPEZ</t>
  </si>
  <si>
    <t>N</t>
  </si>
  <si>
    <t>2026</t>
  </si>
  <si>
    <t>27</t>
  </si>
  <si>
    <t>PUE</t>
  </si>
  <si>
    <t>22114</t>
  </si>
  <si>
    <t>MXN</t>
  </si>
  <si>
    <t>2026-07-03</t>
  </si>
  <si>
    <t>OK</t>
  </si>
  <si>
    <t>A1E3DDE9-6D44-49F2-888B-B741D2B5FAEC</t>
  </si>
  <si>
    <t>2026-06-19T13:20:26</t>
  </si>
  <si>
    <t>25</t>
  </si>
  <si>
    <t>2026-06-19</t>
  </si>
  <si>
    <t>D628E16E-2E7C-4719-A5D2-54C4E52D4E53</t>
  </si>
  <si>
    <t>2026-07-17T11:59:29</t>
  </si>
  <si>
    <t>2026-07-17</t>
  </si>
  <si>
    <t>5604C66C-980F-4A92-B89D-0A9F260D3ED7</t>
  </si>
  <si>
    <t>2026-07-10T12:29:56</t>
  </si>
  <si>
    <t>28</t>
  </si>
  <si>
    <t>2026-07-10</t>
  </si>
  <si>
    <t>F4392ABB-3C0C-493D-9E7E-B6AD67C5BF14</t>
  </si>
  <si>
    <t>2026-07-24T15:40:27</t>
  </si>
  <si>
    <t>2026-07-24</t>
  </si>
  <si>
    <t>FEBRERO</t>
  </si>
  <si>
    <t>MARZO</t>
  </si>
  <si>
    <t>1BB29D05-B1DC-4B92-A8A9-D5ACD89682DD</t>
  </si>
  <si>
    <t>2026-03-31T11:15:19</t>
  </si>
  <si>
    <t>2026-04-04</t>
  </si>
  <si>
    <t>2EEE882C-34ED-41E7-8522-7F58449B632B</t>
  </si>
  <si>
    <t>2026-04-17T17:35:29</t>
  </si>
  <si>
    <t>16</t>
  </si>
  <si>
    <t>2026-04-18</t>
  </si>
  <si>
    <t>52FB7BA5-5186-4B1C-80C4-5AF1054A7514</t>
  </si>
  <si>
    <t>2026-05-22T09:26:09</t>
  </si>
  <si>
    <t>2026-05-22</t>
  </si>
  <si>
    <t>CB7EABC1-48FD-400B-8E94-98A33C6D765E</t>
  </si>
  <si>
    <t>2026-04-30T12:08:24</t>
  </si>
  <si>
    <t>18</t>
  </si>
  <si>
    <t>2026-04-30</t>
  </si>
  <si>
    <t>7BAFAAE2-7325-4B0D-B5F5-59CD208016A4</t>
  </si>
  <si>
    <t>2026-03-13T11:54:56</t>
  </si>
  <si>
    <t>11</t>
  </si>
  <si>
    <t>2026-03-14</t>
  </si>
  <si>
    <t>DC70CA75-1314-43DC-BB88-30BA0C9D36CC</t>
  </si>
  <si>
    <t>2026-04-10T12:44:53</t>
  </si>
  <si>
    <t>15</t>
  </si>
  <si>
    <t>2026-04-11</t>
  </si>
  <si>
    <t>D77C953B-D996-41BE-AE5A-7E1F1F62C700</t>
  </si>
  <si>
    <t>2026-03-26T13:38:38</t>
  </si>
  <si>
    <t>2026-03-28</t>
  </si>
  <si>
    <t>A36CF504-5E6B-4122-B7BE-A99D39D127D2</t>
  </si>
  <si>
    <t>2026-03-19T16:40:25</t>
  </si>
  <si>
    <t>2026-03-21</t>
  </si>
  <si>
    <t>99958EF7-94B2-43DF-959D-38FD2685E831</t>
  </si>
  <si>
    <t>2026-06-05T11:15:31</t>
  </si>
  <si>
    <t>23</t>
  </si>
  <si>
    <t>2026-06-05</t>
  </si>
  <si>
    <t>7AF92762-F663-4EAF-99B4-49FF720458D4</t>
  </si>
  <si>
    <t>2026-05-15T17:07:20</t>
  </si>
  <si>
    <t>2026-05-15</t>
  </si>
  <si>
    <t>2A10F52D-3E60-4D45-A47B-8945C9866C3A</t>
  </si>
  <si>
    <t>2026-04-24T18:21:07</t>
  </si>
  <si>
    <t>17</t>
  </si>
  <si>
    <t>2026-04-25</t>
  </si>
  <si>
    <t>5A568E5B-45A9-4EB0-9338-5CF6D8C4BD51</t>
  </si>
  <si>
    <t>2026-06-12T09:24:37</t>
  </si>
  <si>
    <t>24</t>
  </si>
  <si>
    <t>2026-06-12</t>
  </si>
  <si>
    <t>DF9C3AE3-60CE-456F-91CD-F86C3F152EE6</t>
  </si>
  <si>
    <t>2026-05-08T09:44:00</t>
  </si>
  <si>
    <t>19</t>
  </si>
  <si>
    <t>2026-05-09</t>
  </si>
  <si>
    <t>Fecha Emision</t>
  </si>
  <si>
    <t>Razon Social Emisor</t>
  </si>
  <si>
    <t>Regimen Fiscal</t>
  </si>
  <si>
    <t>Lugar Expedicion</t>
  </si>
  <si>
    <t>Metodo de Pago</t>
  </si>
  <si>
    <t>Tipo Nomina</t>
  </si>
  <si>
    <t>Registro Patronal</t>
  </si>
  <si>
    <t>Curp</t>
  </si>
  <si>
    <t>NumSeguridadSocial</t>
  </si>
  <si>
    <t>Antiguedad</t>
  </si>
  <si>
    <t>TipoJornada</t>
  </si>
  <si>
    <t>TipoRegimen</t>
  </si>
  <si>
    <t>NumEmpleado</t>
  </si>
  <si>
    <t>RiesgoPuesto</t>
  </si>
  <si>
    <t>PeriodicidadPago</t>
  </si>
  <si>
    <t>Banco</t>
  </si>
  <si>
    <t>CuentaBancaria</t>
  </si>
  <si>
    <t>SalarioBaseCotApor</t>
  </si>
  <si>
    <t>SalarioDiarioIntegrado</t>
  </si>
  <si>
    <t>019 HORAS EXTRAS</t>
  </si>
  <si>
    <t>010 PUNTUALIDAD Gravado</t>
  </si>
  <si>
    <t>010 PUNTUALIDAD Exento</t>
  </si>
  <si>
    <t>049 ASISTENCIA Gravado</t>
  </si>
  <si>
    <t>049 ASISTENCIA Exento</t>
  </si>
  <si>
    <t>003 PTU Gravado</t>
  </si>
  <si>
    <t>003 PTU Exento</t>
  </si>
  <si>
    <t>002 AGUINALDO Gravado</t>
  </si>
  <si>
    <t>002 AGUINALDO Exento</t>
  </si>
  <si>
    <t>029 Vales Gravado</t>
  </si>
  <si>
    <t>029 Vales Exento</t>
  </si>
  <si>
    <t>020 Prima Dominical Gravado</t>
  </si>
  <si>
    <t>020 Prima Dominical Exento</t>
  </si>
  <si>
    <t>001 SUELDO Gravado</t>
  </si>
  <si>
    <t>001 SUELDO Exento</t>
  </si>
  <si>
    <t>028 COMISION Gravado</t>
  </si>
  <si>
    <t>028 COMISION Exento</t>
  </si>
  <si>
    <t>005 Fondo Ahorro Gravado</t>
  </si>
  <si>
    <t>005 Fondo Ahorro Exento</t>
  </si>
  <si>
    <t>038 Gratificaciones Gravado</t>
  </si>
  <si>
    <t>038 Gratificaciones Exento</t>
  </si>
  <si>
    <t>021 Prima Vac Gravado</t>
  </si>
  <si>
    <t>021 Prima Vac Exento</t>
  </si>
  <si>
    <t>002 Subsidio Empleo</t>
  </si>
  <si>
    <t>999 Ajuste Moneda P</t>
  </si>
  <si>
    <t>007 ISR Ajustado</t>
  </si>
  <si>
    <t>004 ISPT a Compensar</t>
  </si>
  <si>
    <t>OP Subsidio Causado</t>
  </si>
  <si>
    <t>OP Saldo Favor</t>
  </si>
  <si>
    <t>OP Anio</t>
  </si>
  <si>
    <t>OP Remanente</t>
  </si>
  <si>
    <t>002 ISPT</t>
  </si>
  <si>
    <t>010 INFONAVIT</t>
  </si>
  <si>
    <t>004 Ajuste Moneda D</t>
  </si>
  <si>
    <t>007 Pension Alimenticia</t>
  </si>
  <si>
    <t>011 FONACOT</t>
  </si>
  <si>
    <t>001 IMSS</t>
  </si>
  <si>
    <t>101 ISPT A CARGO</t>
  </si>
  <si>
    <t>107 Ajuste Subsidio</t>
  </si>
  <si>
    <t>018 Ahorro</t>
  </si>
  <si>
    <t>021 Aport IMSS</t>
  </si>
  <si>
    <t>009 Prestamo Vivienda</t>
  </si>
  <si>
    <t>02 Dias Incapacidad</t>
  </si>
  <si>
    <t>NETO2</t>
  </si>
  <si>
    <t>2026-07-03T12:14:58</t>
  </si>
  <si>
    <t>601</t>
  </si>
  <si>
    <t>MAS0810247C0</t>
  </si>
  <si>
    <t>O</t>
  </si>
  <si>
    <t>Z3158232101</t>
  </si>
  <si>
    <t>NULJ770313HBCXPR06</t>
  </si>
  <si>
    <t>21987732472</t>
  </si>
  <si>
    <t>P193W</t>
  </si>
  <si>
    <t>01</t>
  </si>
  <si>
    <t>02</t>
  </si>
  <si>
    <t>001</t>
  </si>
  <si>
    <t>2026-03-31T12:15:29</t>
  </si>
  <si>
    <t>P180W</t>
  </si>
  <si>
    <t>2026-04-17T18:35:39</t>
  </si>
  <si>
    <t>P182W</t>
  </si>
  <si>
    <t>2026-05-22T10:26:19</t>
  </si>
  <si>
    <t>P187W</t>
  </si>
  <si>
    <t>2026-04-30T13:08:34</t>
  </si>
  <si>
    <t>P184W</t>
  </si>
  <si>
    <t>2026-03-13T12:55:06</t>
  </si>
  <si>
    <t>P177W</t>
  </si>
  <si>
    <t>2026-04-10T13:45:03</t>
  </si>
  <si>
    <t>P181W</t>
  </si>
  <si>
    <t>2026-03-26T14:38:49</t>
  </si>
  <si>
    <t>P179W</t>
  </si>
  <si>
    <t>2026-03-19T17:40:36</t>
  </si>
  <si>
    <t>P178W</t>
  </si>
  <si>
    <t>2026-06-05T12:15:41</t>
  </si>
  <si>
    <t>P189W</t>
  </si>
  <si>
    <t>2026-05-15T18:07:30</t>
  </si>
  <si>
    <t>P186W</t>
  </si>
  <si>
    <t>2026-06-19T14:20:37</t>
  </si>
  <si>
    <t>P191W</t>
  </si>
  <si>
    <t>2026-04-24T19:21:17</t>
  </si>
  <si>
    <t>P183W</t>
  </si>
  <si>
    <t>2026-06-12T10:24:47</t>
  </si>
  <si>
    <t>P190W</t>
  </si>
  <si>
    <t>2026-07-17T12:59:38</t>
  </si>
  <si>
    <t>P195W</t>
  </si>
  <si>
    <t>2026-07-10T13:30:06</t>
  </si>
  <si>
    <t>P194W</t>
  </si>
  <si>
    <t>2026-05-08T10:44:10</t>
  </si>
  <si>
    <t>P185W</t>
  </si>
  <si>
    <t>2026-07-24T16:40:37</t>
  </si>
  <si>
    <t>P196W</t>
  </si>
  <si>
    <t>CFDIOLA PONCE GARCIA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</si>
</sst>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$&quot;* #,##0.00_-;\-&quot;$&quot;* #,##0.00_-;_-&quot;$&quot;* &quot;-&quot;??_-;_-@_-"/>
    <numFmt numFmtId="165" formatCode="dd/mm/yyyy;@"/>
    <numFmt numFmtId="166" formatCode="_-[$$-80A]* #,##0.00_-;\-[$$-80A]* #,##0.00_-;_-[$$-80A]* &quot;-&quot;??_-;_-@_-"/>
  </numFmts>
  <fonts count="5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9"/>
      <color theme="0" tint="-4.9989318521683403E-2"/>
      <name val="Calibri"/>
      <family val="2"/>
      <scheme val="minor"/>
    </font>
    <font>
      <sz val="9"/>
      <color theme="0" tint="-4.9989318521683403E-2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1"/>
      <name val="Avenir Book"/>
    </font>
    <font>
      <b/>
      <sz val="14"/>
      <color theme="0"/>
      <name val="Avenir Book"/>
    </font>
    <font>
      <b/>
      <sz val="30"/>
      <name val="Avenir Book"/>
    </font>
    <font>
      <b/>
      <sz val="26"/>
      <name val="Avenir Book"/>
    </font>
    <font>
      <b/>
      <i/>
      <sz val="11"/>
      <name val="Avenir Book"/>
    </font>
    <font>
      <sz val="25"/>
      <name val="Avenir Book"/>
    </font>
    <font>
      <sz val="11"/>
      <color theme="0"/>
      <name val="Avenir Book"/>
    </font>
    <font>
      <sz val="10"/>
      <color theme="0"/>
      <name val="Avenir Book"/>
    </font>
    <font>
      <sz val="10"/>
      <color theme="1"/>
      <name val="Avenir Book"/>
    </font>
    <font>
      <b/>
      <sz val="10"/>
      <color theme="0"/>
      <name val="Avenir Book"/>
    </font>
    <font>
      <sz val="10"/>
      <name val="Avenir Book"/>
    </font>
    <font>
      <b/>
      <sz val="10"/>
      <name val="Avenir Book"/>
    </font>
    <font>
      <b/>
      <sz val="10"/>
      <color theme="1"/>
      <name val="Avenir Book"/>
    </font>
    <font>
      <sz val="11"/>
      <name val="Avenir Book"/>
    </font>
    <font>
      <i/>
      <sz val="9"/>
      <color theme="1" tint="0.499984740745262"/>
      <name val="Avenir Black"/>
    </font>
    <font>
      <b/>
      <i/>
      <sz val="9"/>
      <color theme="1" tint="0.499984740745262"/>
      <name val="Avenir Black"/>
    </font>
    <font>
      <sz val="11"/>
      <color theme="7"/>
      <name val="Avenir Book"/>
    </font>
    <font>
      <i/>
      <sz val="9"/>
      <color rgb="FF008000"/>
      <name val="Avenir Black"/>
    </font>
    <font>
      <i/>
      <sz val="9"/>
      <color theme="1" tint="0.499984740745262"/>
      <name val="Avenir Book"/>
    </font>
    <font>
      <i/>
      <sz val="9"/>
      <color rgb="FFFECC66"/>
      <name val="Avenir Black"/>
    </font>
    <font>
      <i/>
      <sz val="9"/>
      <color rgb="FFFF0000"/>
      <name val="Avenir Black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6"/>
      <color rgb="FFFFC000"/>
      <name val="Avenir Book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15"/>
      <color theme="1"/>
      <name val="Avenir Book"/>
    </font>
    <font>
      <sz val="15"/>
      <color theme="0"/>
      <name val="Avenir Book"/>
    </font>
    <font>
      <sz val="12"/>
      <name val="Avenir Book"/>
    </font>
    <font>
      <b/>
      <sz val="12"/>
      <name val="Avenir Book"/>
    </font>
    <font>
      <b/>
      <sz val="11"/>
      <color theme="1"/>
      <name val="Avenir Book"/>
    </font>
    <font>
      <b/>
      <sz val="11"/>
      <name val="Avenir Book"/>
    </font>
    <font>
      <sz val="11"/>
      <color rgb="FFFF0000"/>
      <name val="Avenir Book"/>
    </font>
    <font>
      <sz val="11"/>
      <color rgb="FFFFC000"/>
      <name val="Avenir Book"/>
    </font>
    <font>
      <b/>
      <sz val="11"/>
      <color theme="0"/>
      <name val="Avenir Book"/>
    </font>
    <font>
      <b/>
      <sz val="20"/>
      <color theme="0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b/>
      <u/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0"/>
      <name val="Calibri Light"/>
      <family val="2"/>
      <scheme val="major"/>
    </font>
    <font>
      <b/>
      <sz val="9"/>
      <color rgb="FF00FFFF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4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D60093"/>
        <bgColor indexed="64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FF9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thin">
        <color theme="1" tint="0.499984740745262"/>
      </bottom>
      <diagonal/>
    </border>
    <border>
      <left/>
      <right style="medium">
        <color auto="1"/>
      </right>
      <top/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medium">
        <color auto="1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ashDot">
        <color auto="1"/>
      </left>
      <right/>
      <top style="dashDot">
        <color auto="1"/>
      </top>
      <bottom/>
      <diagonal/>
    </border>
    <border>
      <left/>
      <right/>
      <top style="dashDot">
        <color auto="1"/>
      </top>
      <bottom/>
      <diagonal/>
    </border>
    <border>
      <left/>
      <right style="medium">
        <color auto="1"/>
      </right>
      <top style="dashDot">
        <color auto="1"/>
      </top>
      <bottom/>
      <diagonal/>
    </border>
    <border>
      <left style="dashDot">
        <color auto="1"/>
      </left>
      <right/>
      <top/>
      <bottom/>
      <diagonal/>
    </border>
    <border>
      <left style="dashDot">
        <color auto="1"/>
      </left>
      <right/>
      <top/>
      <bottom style="dashDot">
        <color auto="1"/>
      </bottom>
      <diagonal/>
    </border>
    <border>
      <left/>
      <right/>
      <top/>
      <bottom style="dashDot">
        <color auto="1"/>
      </bottom>
      <diagonal/>
    </border>
    <border>
      <left/>
      <right style="medium">
        <color auto="1"/>
      </right>
      <top/>
      <bottom style="dashDot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/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</cellStyleXfs>
  <cellXfs count="455">
    <xf numFmtId="0" fontId="0" fillId="0" borderId="0" xfId="0"/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3" fillId="4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4" fontId="4" fillId="5" borderId="1" xfId="0" applyNumberFormat="1" applyFont="1" applyFill="1" applyBorder="1"/>
    <xf numFmtId="4" fontId="4" fillId="5" borderId="1" xfId="0" applyNumberFormat="1" applyFont="1" applyFill="1" applyBorder="1" applyAlignment="1">
      <alignment horizontal="center"/>
    </xf>
    <xf numFmtId="0" fontId="4" fillId="0" borderId="0" xfId="0" applyFont="1"/>
    <xf numFmtId="0" fontId="0" fillId="2" borderId="0" xfId="0" applyFill="1"/>
    <xf numFmtId="0" fontId="6" fillId="0" borderId="0" xfId="0" applyFont="1" applyFill="1" applyAlignment="1"/>
    <xf numFmtId="0" fontId="7" fillId="0" borderId="0" xfId="0" applyFont="1" applyFill="1" applyAlignment="1"/>
    <xf numFmtId="0" fontId="6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4" fontId="7" fillId="0" borderId="0" xfId="0" applyNumberFormat="1" applyFont="1" applyFill="1" applyAlignment="1"/>
    <xf numFmtId="4" fontId="6" fillId="0" borderId="0" xfId="0" applyNumberFormat="1" applyFont="1" applyFill="1" applyAlignment="1"/>
    <xf numFmtId="4" fontId="7" fillId="0" borderId="0" xfId="0" applyNumberFormat="1" applyFont="1" applyFill="1" applyAlignment="1">
      <alignment horizontal="center"/>
    </xf>
    <xf numFmtId="4" fontId="6" fillId="0" borderId="0" xfId="0" applyNumberFormat="1" applyFont="1" applyFill="1" applyAlignment="1">
      <alignment horizontal="center"/>
    </xf>
    <xf numFmtId="0" fontId="9" fillId="0" borderId="0" xfId="0" applyFont="1" applyFill="1" applyAlignment="1">
      <alignment horizontal="center"/>
    </xf>
    <xf numFmtId="0" fontId="9" fillId="0" borderId="0" xfId="0" applyFont="1" applyFill="1" applyAlignment="1"/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4" borderId="1" xfId="0" applyNumberFormat="1" applyFont="1" applyFill="1" applyBorder="1" applyAlignment="1">
      <alignment horizontal="center"/>
    </xf>
    <xf numFmtId="0" fontId="12" fillId="4" borderId="3" xfId="0" applyNumberFormat="1" applyFont="1" applyFill="1" applyBorder="1" applyAlignment="1"/>
    <xf numFmtId="0" fontId="12" fillId="4" borderId="3" xfId="0" applyNumberFormat="1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14" fillId="0" borderId="0" xfId="0" applyFont="1"/>
    <xf numFmtId="0" fontId="14" fillId="7" borderId="0" xfId="0" applyFont="1" applyFill="1"/>
    <xf numFmtId="0" fontId="15" fillId="14" borderId="0" xfId="0" applyFont="1" applyFill="1" applyAlignment="1">
      <alignment vertical="center"/>
    </xf>
    <xf numFmtId="0" fontId="17" fillId="14" borderId="0" xfId="0" applyFont="1" applyFill="1" applyAlignment="1"/>
    <xf numFmtId="0" fontId="18" fillId="14" borderId="0" xfId="0" applyFont="1" applyFill="1" applyBorder="1" applyAlignment="1">
      <alignment vertical="center"/>
    </xf>
    <xf numFmtId="0" fontId="19" fillId="15" borderId="0" xfId="0" applyFont="1" applyFill="1" applyAlignment="1">
      <alignment vertical="center"/>
    </xf>
    <xf numFmtId="0" fontId="20" fillId="7" borderId="0" xfId="0" applyFont="1" applyFill="1"/>
    <xf numFmtId="0" fontId="18" fillId="14" borderId="30" xfId="0" applyFont="1" applyFill="1" applyBorder="1" applyAlignment="1">
      <alignment vertical="center"/>
    </xf>
    <xf numFmtId="0" fontId="22" fillId="17" borderId="34" xfId="0" applyFont="1" applyFill="1" applyBorder="1"/>
    <xf numFmtId="0" fontId="21" fillId="17" borderId="0" xfId="0" applyFont="1" applyFill="1" applyBorder="1"/>
    <xf numFmtId="0" fontId="23" fillId="17" borderId="0" xfId="0" applyFont="1" applyFill="1" applyBorder="1"/>
    <xf numFmtId="0" fontId="24" fillId="18" borderId="0" xfId="0" applyFont="1" applyFill="1" applyBorder="1"/>
    <xf numFmtId="0" fontId="25" fillId="18" borderId="0" xfId="0" applyFont="1" applyFill="1" applyBorder="1"/>
    <xf numFmtId="0" fontId="24" fillId="18" borderId="35" xfId="0" applyFont="1" applyFill="1" applyBorder="1"/>
    <xf numFmtId="0" fontId="22" fillId="7" borderId="0" xfId="0" applyFont="1" applyFill="1" applyBorder="1"/>
    <xf numFmtId="164" fontId="22" fillId="7" borderId="36" xfId="2" applyFont="1" applyFill="1" applyBorder="1"/>
    <xf numFmtId="164" fontId="22" fillId="7" borderId="37" xfId="2" applyFont="1" applyFill="1" applyBorder="1"/>
    <xf numFmtId="164" fontId="22" fillId="7" borderId="38" xfId="2" applyFont="1" applyFill="1" applyBorder="1"/>
    <xf numFmtId="164" fontId="22" fillId="7" borderId="39" xfId="2" applyFont="1" applyFill="1" applyBorder="1"/>
    <xf numFmtId="0" fontId="22" fillId="7" borderId="34" xfId="0" applyFont="1" applyFill="1" applyBorder="1"/>
    <xf numFmtId="0" fontId="22" fillId="7" borderId="35" xfId="0" applyFont="1" applyFill="1" applyBorder="1"/>
    <xf numFmtId="0" fontId="21" fillId="17" borderId="30" xfId="0" applyFont="1" applyFill="1" applyBorder="1" applyAlignment="1">
      <alignment horizontal="center"/>
    </xf>
    <xf numFmtId="164" fontId="25" fillId="18" borderId="30" xfId="2" applyFont="1" applyFill="1" applyBorder="1" applyAlignment="1"/>
    <xf numFmtId="164" fontId="25" fillId="18" borderId="41" xfId="2" applyFont="1" applyFill="1" applyBorder="1" applyAlignment="1"/>
    <xf numFmtId="164" fontId="14" fillId="7" borderId="0" xfId="0" applyNumberFormat="1" applyFont="1" applyFill="1"/>
    <xf numFmtId="0" fontId="24" fillId="14" borderId="34" xfId="0" applyFont="1" applyFill="1" applyBorder="1" applyAlignment="1">
      <alignment horizontal="left"/>
    </xf>
    <xf numFmtId="0" fontId="24" fillId="15" borderId="0" xfId="0" applyFont="1" applyFill="1" applyBorder="1" applyAlignment="1">
      <alignment horizontal="center"/>
    </xf>
    <xf numFmtId="0" fontId="24" fillId="14" borderId="0" xfId="0" applyFont="1" applyFill="1" applyBorder="1" applyAlignment="1">
      <alignment horizontal="left"/>
    </xf>
    <xf numFmtId="0" fontId="22" fillId="7" borderId="0" xfId="0" applyFont="1" applyFill="1" applyBorder="1" applyAlignment="1">
      <alignment horizontal="right"/>
    </xf>
    <xf numFmtId="0" fontId="24" fillId="15" borderId="35" xfId="0" applyFont="1" applyFill="1" applyBorder="1" applyAlignment="1">
      <alignment horizontal="center"/>
    </xf>
    <xf numFmtId="0" fontId="25" fillId="14" borderId="34" xfId="0" applyFont="1" applyFill="1" applyBorder="1" applyAlignment="1">
      <alignment horizontal="left"/>
    </xf>
    <xf numFmtId="0" fontId="25" fillId="14" borderId="0" xfId="0" applyFont="1" applyFill="1" applyBorder="1"/>
    <xf numFmtId="0" fontId="26" fillId="0" borderId="0" xfId="0" applyFont="1" applyBorder="1"/>
    <xf numFmtId="0" fontId="21" fillId="0" borderId="0" xfId="0" applyFont="1" applyFill="1" applyBorder="1" applyAlignment="1">
      <alignment horizontal="center"/>
    </xf>
    <xf numFmtId="0" fontId="25" fillId="14" borderId="35" xfId="0" applyFont="1" applyFill="1" applyBorder="1"/>
    <xf numFmtId="0" fontId="22" fillId="7" borderId="34" xfId="0" applyFont="1" applyFill="1" applyBorder="1" applyAlignment="1">
      <alignment horizontal="left"/>
    </xf>
    <xf numFmtId="164" fontId="22" fillId="7" borderId="0" xfId="2" applyFont="1" applyFill="1" applyBorder="1"/>
    <xf numFmtId="0" fontId="22" fillId="7" borderId="0" xfId="0" applyFont="1" applyFill="1" applyBorder="1" applyAlignment="1">
      <alignment horizontal="left"/>
    </xf>
    <xf numFmtId="164" fontId="22" fillId="7" borderId="35" xfId="2" applyFont="1" applyFill="1" applyBorder="1"/>
    <xf numFmtId="0" fontId="22" fillId="0" borderId="0" xfId="0" applyFont="1" applyBorder="1"/>
    <xf numFmtId="164" fontId="24" fillId="7" borderId="0" xfId="2" applyFont="1" applyFill="1" applyBorder="1"/>
    <xf numFmtId="0" fontId="23" fillId="19" borderId="42" xfId="0" applyFont="1" applyFill="1" applyBorder="1"/>
    <xf numFmtId="0" fontId="21" fillId="19" borderId="43" xfId="0" applyFont="1" applyFill="1" applyBorder="1"/>
    <xf numFmtId="0" fontId="21" fillId="19" borderId="44" xfId="0" applyFont="1" applyFill="1" applyBorder="1"/>
    <xf numFmtId="0" fontId="22" fillId="7" borderId="0" xfId="0" applyFont="1" applyFill="1" applyAlignment="1">
      <alignment horizontal="left"/>
    </xf>
    <xf numFmtId="0" fontId="22" fillId="7" borderId="45" xfId="0" applyFont="1" applyFill="1" applyBorder="1"/>
    <xf numFmtId="0" fontId="22" fillId="7" borderId="0" xfId="0" applyFont="1" applyFill="1"/>
    <xf numFmtId="164" fontId="22" fillId="7" borderId="0" xfId="2" applyFont="1" applyFill="1"/>
    <xf numFmtId="0" fontId="22" fillId="7" borderId="46" xfId="0" applyFont="1" applyFill="1" applyBorder="1"/>
    <xf numFmtId="0" fontId="22" fillId="7" borderId="47" xfId="0" applyFont="1" applyFill="1" applyBorder="1"/>
    <xf numFmtId="164" fontId="22" fillId="7" borderId="48" xfId="2" applyFont="1" applyFill="1" applyBorder="1"/>
    <xf numFmtId="0" fontId="21" fillId="7" borderId="34" xfId="0" applyFont="1" applyFill="1" applyBorder="1" applyAlignment="1">
      <alignment horizontal="center"/>
    </xf>
    <xf numFmtId="0" fontId="21" fillId="7" borderId="0" xfId="0" applyFont="1" applyFill="1" applyBorder="1" applyAlignment="1">
      <alignment horizontal="center"/>
    </xf>
    <xf numFmtId="0" fontId="21" fillId="7" borderId="35" xfId="0" applyFont="1" applyFill="1" applyBorder="1" applyAlignment="1">
      <alignment horizontal="center"/>
    </xf>
    <xf numFmtId="0" fontId="21" fillId="14" borderId="0" xfId="0" applyFont="1" applyFill="1" applyBorder="1" applyAlignment="1">
      <alignment horizontal="left"/>
    </xf>
    <xf numFmtId="0" fontId="25" fillId="14" borderId="0" xfId="0" applyFont="1" applyFill="1" applyBorder="1" applyAlignment="1">
      <alignment horizontal="left"/>
    </xf>
    <xf numFmtId="0" fontId="25" fillId="14" borderId="35" xfId="0" applyFont="1" applyFill="1" applyBorder="1" applyAlignment="1">
      <alignment horizontal="left"/>
    </xf>
    <xf numFmtId="0" fontId="26" fillId="7" borderId="0" xfId="0" applyFont="1" applyFill="1" applyBorder="1"/>
    <xf numFmtId="0" fontId="27" fillId="7" borderId="49" xfId="0" applyFont="1" applyFill="1" applyBorder="1" applyAlignment="1">
      <alignment horizontal="center"/>
    </xf>
    <xf numFmtId="0" fontId="27" fillId="7" borderId="0" xfId="0" applyFont="1" applyFill="1" applyBorder="1" applyAlignment="1">
      <alignment horizontal="center"/>
    </xf>
    <xf numFmtId="164" fontId="14" fillId="7" borderId="0" xfId="0" applyNumberFormat="1" applyFont="1" applyFill="1" applyBorder="1" applyAlignment="1">
      <alignment horizontal="center"/>
    </xf>
    <xf numFmtId="0" fontId="14" fillId="7" borderId="0" xfId="0" applyFont="1" applyFill="1" applyBorder="1" applyAlignment="1">
      <alignment horizontal="center"/>
    </xf>
    <xf numFmtId="0" fontId="14" fillId="7" borderId="0" xfId="0" applyFont="1" applyFill="1" applyBorder="1"/>
    <xf numFmtId="0" fontId="14" fillId="7" borderId="49" xfId="0" applyFont="1" applyFill="1" applyBorder="1"/>
    <xf numFmtId="0" fontId="20" fillId="17" borderId="31" xfId="0" applyFont="1" applyFill="1" applyBorder="1"/>
    <xf numFmtId="0" fontId="20" fillId="17" borderId="32" xfId="0" applyFont="1" applyFill="1" applyBorder="1"/>
    <xf numFmtId="0" fontId="20" fillId="3" borderId="32" xfId="0" applyFont="1" applyFill="1" applyBorder="1" applyAlignment="1">
      <alignment horizontal="center"/>
    </xf>
    <xf numFmtId="0" fontId="21" fillId="10" borderId="33" xfId="0" applyFont="1" applyFill="1" applyBorder="1" applyAlignment="1"/>
    <xf numFmtId="164" fontId="14" fillId="20" borderId="30" xfId="2" applyFont="1" applyFill="1" applyBorder="1" applyAlignment="1">
      <alignment horizontal="left" vertical="center"/>
    </xf>
    <xf numFmtId="164" fontId="14" fillId="21" borderId="30" xfId="2" applyFont="1" applyFill="1" applyBorder="1" applyAlignment="1">
      <alignment vertical="center"/>
    </xf>
    <xf numFmtId="164" fontId="14" fillId="21" borderId="30" xfId="2" applyFont="1" applyFill="1" applyBorder="1" applyAlignment="1">
      <alignment horizontal="left" vertical="center"/>
    </xf>
    <xf numFmtId="164" fontId="14" fillId="11" borderId="41" xfId="2" applyFont="1" applyFill="1" applyBorder="1" applyAlignment="1">
      <alignment vertical="center"/>
    </xf>
    <xf numFmtId="164" fontId="14" fillId="7" borderId="49" xfId="2" applyFont="1" applyFill="1" applyBorder="1" applyAlignment="1">
      <alignment horizontal="left" vertical="center"/>
    </xf>
    <xf numFmtId="164" fontId="14" fillId="7" borderId="0" xfId="2" applyFont="1" applyFill="1" applyBorder="1" applyAlignment="1">
      <alignment horizontal="left" vertical="center"/>
    </xf>
    <xf numFmtId="164" fontId="14" fillId="7" borderId="49" xfId="2" applyFont="1" applyFill="1" applyBorder="1" applyAlignment="1">
      <alignment vertical="center"/>
    </xf>
    <xf numFmtId="164" fontId="14" fillId="7" borderId="0" xfId="2" applyFont="1" applyFill="1" applyBorder="1" applyAlignment="1">
      <alignment vertical="center"/>
    </xf>
    <xf numFmtId="0" fontId="32" fillId="7" borderId="0" xfId="0" applyFont="1" applyFill="1" applyBorder="1" applyAlignment="1">
      <alignment vertical="center" wrapText="1"/>
    </xf>
    <xf numFmtId="0" fontId="14" fillId="7" borderId="16" xfId="0" applyFont="1" applyFill="1" applyBorder="1"/>
    <xf numFmtId="0" fontId="35" fillId="0" borderId="0" xfId="0" applyFont="1"/>
    <xf numFmtId="9" fontId="38" fillId="7" borderId="0" xfId="1" applyFont="1" applyFill="1" applyAlignment="1">
      <alignment horizontal="center"/>
    </xf>
    <xf numFmtId="0" fontId="14" fillId="0" borderId="0" xfId="0" applyFont="1" applyAlignment="1">
      <alignment horizontal="center"/>
    </xf>
    <xf numFmtId="0" fontId="14" fillId="7" borderId="0" xfId="0" applyFont="1" applyFill="1" applyAlignment="1">
      <alignment horizontal="center"/>
    </xf>
    <xf numFmtId="0" fontId="13" fillId="0" borderId="0" xfId="0" applyFont="1" applyFill="1" applyAlignment="1">
      <alignment horizontal="center"/>
    </xf>
    <xf numFmtId="0" fontId="12" fillId="0" borderId="0" xfId="0" applyNumberFormat="1" applyFont="1" applyFill="1" applyBorder="1" applyAlignment="1">
      <alignment horizontal="center"/>
    </xf>
    <xf numFmtId="0" fontId="39" fillId="0" borderId="0" xfId="0" applyFont="1" applyFill="1" applyAlignment="1">
      <alignment horizontal="center"/>
    </xf>
    <xf numFmtId="0" fontId="40" fillId="0" borderId="0" xfId="0" applyFont="1" applyFill="1" applyAlignment="1">
      <alignment horizontal="center"/>
    </xf>
    <xf numFmtId="0" fontId="40" fillId="0" borderId="29" xfId="0" applyNumberFormat="1" applyFont="1" applyFill="1" applyBorder="1" applyAlignment="1">
      <alignment horizontal="center"/>
    </xf>
    <xf numFmtId="0" fontId="40" fillId="0" borderId="0" xfId="0" applyNumberFormat="1" applyFont="1" applyFill="1" applyBorder="1" applyAlignment="1">
      <alignment horizontal="center"/>
    </xf>
    <xf numFmtId="4" fontId="40" fillId="0" borderId="0" xfId="0" applyNumberFormat="1" applyFont="1" applyFill="1" applyAlignment="1">
      <alignment horizontal="center"/>
    </xf>
    <xf numFmtId="4" fontId="39" fillId="0" borderId="0" xfId="0" applyNumberFormat="1" applyFont="1" applyFill="1" applyAlignment="1">
      <alignment horizontal="center"/>
    </xf>
    <xf numFmtId="0" fontId="12" fillId="0" borderId="0" xfId="0" applyNumberFormat="1" applyFont="1" applyFill="1" applyBorder="1" applyAlignment="1"/>
    <xf numFmtId="0" fontId="12" fillId="0" borderId="26" xfId="0" applyNumberFormat="1" applyFont="1" applyFill="1" applyBorder="1" applyAlignment="1">
      <alignment horizontal="center"/>
    </xf>
    <xf numFmtId="0" fontId="12" fillId="0" borderId="27" xfId="0" applyNumberFormat="1" applyFont="1" applyFill="1" applyBorder="1" applyAlignment="1"/>
    <xf numFmtId="0" fontId="12" fillId="0" borderId="27" xfId="0" applyNumberFormat="1" applyFont="1" applyFill="1" applyBorder="1" applyAlignment="1">
      <alignment horizontal="center"/>
    </xf>
    <xf numFmtId="4" fontId="26" fillId="7" borderId="0" xfId="0" applyNumberFormat="1" applyFont="1" applyFill="1" applyBorder="1"/>
    <xf numFmtId="4" fontId="22" fillId="7" borderId="35" xfId="0" applyNumberFormat="1" applyFont="1" applyFill="1" applyBorder="1"/>
    <xf numFmtId="0" fontId="1" fillId="0" borderId="0" xfId="0" applyFont="1"/>
    <xf numFmtId="0" fontId="1" fillId="0" borderId="0" xfId="0" applyFont="1" applyAlignment="1">
      <alignment horizontal="center"/>
    </xf>
    <xf numFmtId="9" fontId="14" fillId="7" borderId="0" xfId="1" applyFont="1" applyFill="1" applyAlignment="1">
      <alignment horizontal="center"/>
    </xf>
    <xf numFmtId="0" fontId="14" fillId="7" borderId="1" xfId="0" applyFont="1" applyFill="1" applyBorder="1"/>
    <xf numFmtId="0" fontId="41" fillId="7" borderId="0" xfId="0" applyFont="1" applyFill="1"/>
    <xf numFmtId="0" fontId="42" fillId="7" borderId="0" xfId="0" applyFont="1" applyFill="1"/>
    <xf numFmtId="0" fontId="41" fillId="0" borderId="0" xfId="0" applyFont="1"/>
    <xf numFmtId="0" fontId="43" fillId="7" borderId="0" xfId="0" applyFont="1" applyFill="1"/>
    <xf numFmtId="0" fontId="44" fillId="7" borderId="0" xfId="0" applyFont="1" applyFill="1"/>
    <xf numFmtId="0" fontId="26" fillId="12" borderId="30" xfId="0" applyFont="1" applyFill="1" applyBorder="1"/>
    <xf numFmtId="0" fontId="26" fillId="12" borderId="41" xfId="0" applyFont="1" applyFill="1" applyBorder="1"/>
    <xf numFmtId="164" fontId="45" fillId="7" borderId="0" xfId="0" applyNumberFormat="1" applyFont="1" applyFill="1"/>
    <xf numFmtId="4" fontId="14" fillId="7" borderId="1" xfId="0" applyNumberFormat="1" applyFont="1" applyFill="1" applyBorder="1"/>
    <xf numFmtId="0" fontId="14" fillId="7" borderId="1" xfId="0" applyFont="1" applyFill="1" applyBorder="1" applyAlignment="1">
      <alignment horizontal="center"/>
    </xf>
    <xf numFmtId="164" fontId="14" fillId="7" borderId="1" xfId="0" applyNumberFormat="1" applyFont="1" applyFill="1" applyBorder="1"/>
    <xf numFmtId="4" fontId="14" fillId="7" borderId="0" xfId="0" applyNumberFormat="1" applyFont="1" applyFill="1"/>
    <xf numFmtId="9" fontId="45" fillId="7" borderId="0" xfId="1" applyFont="1" applyFill="1" applyAlignment="1">
      <alignment horizontal="center"/>
    </xf>
    <xf numFmtId="4" fontId="45" fillId="7" borderId="1" xfId="0" applyNumberFormat="1" applyFont="1" applyFill="1" applyBorder="1"/>
    <xf numFmtId="164" fontId="45" fillId="7" borderId="1" xfId="0" applyNumberFormat="1" applyFont="1" applyFill="1" applyBorder="1"/>
    <xf numFmtId="0" fontId="45" fillId="7" borderId="0" xfId="0" applyFont="1" applyFill="1"/>
    <xf numFmtId="9" fontId="45" fillId="7" borderId="1" xfId="1" applyFont="1" applyFill="1" applyBorder="1" applyAlignment="1">
      <alignment horizontal="center"/>
    </xf>
    <xf numFmtId="4" fontId="0" fillId="0" borderId="0" xfId="0" applyNumberFormat="1"/>
    <xf numFmtId="164" fontId="14" fillId="7" borderId="1" xfId="0" applyNumberFormat="1" applyFont="1" applyFill="1" applyBorder="1" applyAlignment="1">
      <alignment horizontal="center"/>
    </xf>
    <xf numFmtId="4" fontId="14" fillId="7" borderId="1" xfId="0" applyNumberFormat="1" applyFont="1" applyFill="1" applyBorder="1" applyAlignment="1">
      <alignment horizontal="center"/>
    </xf>
    <xf numFmtId="4" fontId="45" fillId="7" borderId="1" xfId="0" applyNumberFormat="1" applyFont="1" applyFill="1" applyBorder="1" applyAlignment="1">
      <alignment horizontal="center"/>
    </xf>
    <xf numFmtId="0" fontId="0" fillId="0" borderId="0" xfId="0" applyBorder="1"/>
    <xf numFmtId="4" fontId="14" fillId="7" borderId="0" xfId="0" applyNumberFormat="1" applyFont="1" applyFill="1" applyBorder="1"/>
    <xf numFmtId="4" fontId="45" fillId="7" borderId="0" xfId="0" applyNumberFormat="1" applyFont="1" applyFill="1" applyBorder="1"/>
    <xf numFmtId="0" fontId="45" fillId="7" borderId="0" xfId="0" applyFont="1" applyFill="1" applyBorder="1"/>
    <xf numFmtId="4" fontId="14" fillId="7" borderId="0" xfId="0" applyNumberFormat="1" applyFont="1" applyFill="1" applyAlignment="1">
      <alignment horizontal="center"/>
    </xf>
    <xf numFmtId="4" fontId="0" fillId="0" borderId="0" xfId="0" applyNumberFormat="1" applyAlignment="1">
      <alignment horizontal="center"/>
    </xf>
    <xf numFmtId="9" fontId="46" fillId="7" borderId="0" xfId="1" applyFont="1" applyFill="1" applyAlignment="1">
      <alignment horizontal="center"/>
    </xf>
    <xf numFmtId="9" fontId="47" fillId="7" borderId="0" xfId="1" applyFont="1" applyFill="1" applyAlignment="1">
      <alignment horizontal="center"/>
    </xf>
    <xf numFmtId="9" fontId="48" fillId="7" borderId="0" xfId="1" applyFont="1" applyFill="1" applyAlignment="1">
      <alignment horizontal="center"/>
    </xf>
    <xf numFmtId="0" fontId="45" fillId="22" borderId="1" xfId="0" applyFont="1" applyFill="1" applyBorder="1"/>
    <xf numFmtId="0" fontId="45" fillId="24" borderId="1" xfId="0" applyFont="1" applyFill="1" applyBorder="1"/>
    <xf numFmtId="0" fontId="49" fillId="4" borderId="1" xfId="0" applyFont="1" applyFill="1" applyBorder="1" applyAlignment="1">
      <alignment horizontal="center"/>
    </xf>
    <xf numFmtId="9" fontId="49" fillId="4" borderId="1" xfId="1" applyFont="1" applyFill="1" applyBorder="1" applyAlignment="1">
      <alignment horizontal="center"/>
    </xf>
    <xf numFmtId="4" fontId="49" fillId="4" borderId="1" xfId="0" applyNumberFormat="1" applyFont="1" applyFill="1" applyBorder="1" applyAlignment="1">
      <alignment horizontal="center"/>
    </xf>
    <xf numFmtId="0" fontId="49" fillId="4" borderId="1" xfId="0" applyFont="1" applyFill="1" applyBorder="1"/>
    <xf numFmtId="164" fontId="49" fillId="4" borderId="1" xfId="0" applyNumberFormat="1" applyFont="1" applyFill="1" applyBorder="1" applyAlignment="1">
      <alignment horizontal="center"/>
    </xf>
    <xf numFmtId="9" fontId="14" fillId="7" borderId="1" xfId="1" applyFont="1" applyFill="1" applyBorder="1" applyAlignment="1">
      <alignment horizontal="center"/>
    </xf>
    <xf numFmtId="9" fontId="14" fillId="7" borderId="1" xfId="0" applyNumberFormat="1" applyFont="1" applyFill="1" applyBorder="1" applyAlignment="1">
      <alignment horizontal="center"/>
    </xf>
    <xf numFmtId="165" fontId="0" fillId="0" borderId="0" xfId="0" applyNumberFormat="1"/>
    <xf numFmtId="166" fontId="0" fillId="0" borderId="0" xfId="0" applyNumberFormat="1"/>
    <xf numFmtId="0" fontId="0" fillId="5" borderId="0" xfId="0" applyFill="1" applyAlignment="1">
      <alignment horizontal="center"/>
    </xf>
    <xf numFmtId="0" fontId="0" fillId="0" borderId="0" xfId="0" applyNumberFormat="1" applyAlignment="1">
      <alignment horizontal="center"/>
    </xf>
    <xf numFmtId="4" fontId="7" fillId="0" borderId="1" xfId="0" applyNumberFormat="1" applyFont="1" applyBorder="1"/>
    <xf numFmtId="1" fontId="37" fillId="26" borderId="21" xfId="4" applyNumberFormat="1" applyFont="1" applyBorder="1" applyAlignment="1">
      <alignment horizontal="center"/>
    </xf>
    <xf numFmtId="0" fontId="37" fillId="26" borderId="23" xfId="4" applyFont="1" applyBorder="1" applyAlignment="1">
      <alignment horizontal="center"/>
    </xf>
    <xf numFmtId="1" fontId="37" fillId="26" borderId="23" xfId="4" applyNumberFormat="1" applyFont="1" applyBorder="1" applyAlignment="1">
      <alignment horizontal="center"/>
    </xf>
    <xf numFmtId="0" fontId="35" fillId="0" borderId="0" xfId="0" pivotButton="1" applyFont="1"/>
    <xf numFmtId="0" fontId="35" fillId="0" borderId="0" xfId="0" applyFont="1" applyAlignment="1">
      <alignment horizontal="left"/>
    </xf>
    <xf numFmtId="164" fontId="35" fillId="0" borderId="0" xfId="0" applyNumberFormat="1" applyFont="1"/>
    <xf numFmtId="166" fontId="35" fillId="28" borderId="1" xfId="0" applyNumberFormat="1" applyFont="1" applyFill="1" applyBorder="1"/>
    <xf numFmtId="0" fontId="35" fillId="28" borderId="1" xfId="0" applyFont="1" applyFill="1" applyBorder="1"/>
    <xf numFmtId="0" fontId="35" fillId="28" borderId="1" xfId="0" applyFont="1" applyFill="1" applyBorder="1" applyAlignment="1">
      <alignment horizontal="right"/>
    </xf>
    <xf numFmtId="166" fontId="36" fillId="0" borderId="0" xfId="0" applyNumberFormat="1" applyFont="1"/>
    <xf numFmtId="0" fontId="35" fillId="0" borderId="0" xfId="0" applyFont="1" applyAlignment="1"/>
    <xf numFmtId="0" fontId="0" fillId="13" borderId="0" xfId="0" applyFill="1"/>
    <xf numFmtId="0" fontId="0" fillId="23" borderId="0" xfId="0" applyFill="1"/>
    <xf numFmtId="0" fontId="0" fillId="30" borderId="0" xfId="0" applyFill="1"/>
    <xf numFmtId="0" fontId="0" fillId="30" borderId="0" xfId="0" applyFill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6" fillId="2" borderId="14" xfId="0" applyFont="1" applyFill="1" applyBorder="1" applyAlignment="1">
      <alignment horizontal="center"/>
    </xf>
    <xf numFmtId="4" fontId="6" fillId="2" borderId="15" xfId="0" applyNumberFormat="1" applyFont="1" applyFill="1" applyBorder="1" applyAlignment="1">
      <alignment horizontal="center"/>
    </xf>
    <xf numFmtId="0" fontId="51" fillId="2" borderId="18" xfId="0" applyFont="1" applyFill="1" applyBorder="1" applyAlignment="1">
      <alignment horizontal="left"/>
    </xf>
    <xf numFmtId="0" fontId="6" fillId="2" borderId="19" xfId="0" applyFont="1" applyFill="1" applyBorder="1"/>
    <xf numFmtId="4" fontId="7" fillId="2" borderId="20" xfId="0" applyNumberFormat="1" applyFont="1" applyFill="1" applyBorder="1" applyAlignment="1">
      <alignment horizontal="right"/>
    </xf>
    <xf numFmtId="0" fontId="7" fillId="0" borderId="0" xfId="0" applyFont="1" applyFill="1"/>
    <xf numFmtId="0" fontId="51" fillId="0" borderId="16" xfId="0" applyFont="1" applyFill="1" applyBorder="1"/>
    <xf numFmtId="0" fontId="6" fillId="0" borderId="0" xfId="0" applyFont="1" applyFill="1" applyBorder="1"/>
    <xf numFmtId="0" fontId="6" fillId="0" borderId="0" xfId="0" applyFont="1" applyFill="1" applyBorder="1" applyAlignment="1">
      <alignment horizontal="center"/>
    </xf>
    <xf numFmtId="4" fontId="6" fillId="0" borderId="17" xfId="0" applyNumberFormat="1" applyFont="1" applyFill="1" applyBorder="1" applyAlignment="1">
      <alignment horizontal="right"/>
    </xf>
    <xf numFmtId="0" fontId="52" fillId="4" borderId="21" xfId="0" applyFont="1" applyFill="1" applyBorder="1"/>
    <xf numFmtId="4" fontId="11" fillId="4" borderId="17" xfId="0" applyNumberFormat="1" applyFont="1" applyFill="1" applyBorder="1" applyAlignment="1">
      <alignment horizontal="right"/>
    </xf>
    <xf numFmtId="0" fontId="53" fillId="4" borderId="22" xfId="0" applyFont="1" applyFill="1" applyBorder="1"/>
    <xf numFmtId="1" fontId="54" fillId="4" borderId="21" xfId="0" applyNumberFormat="1" applyFont="1" applyFill="1" applyBorder="1" applyAlignment="1">
      <alignment horizontal="center"/>
    </xf>
    <xf numFmtId="4" fontId="11" fillId="4" borderId="17" xfId="0" applyNumberFormat="1" applyFont="1" applyFill="1" applyBorder="1" applyAlignment="1">
      <alignment horizontal="center"/>
    </xf>
    <xf numFmtId="0" fontId="53" fillId="4" borderId="23" xfId="0" applyFont="1" applyFill="1" applyBorder="1" applyAlignment="1">
      <alignment horizontal="center"/>
    </xf>
    <xf numFmtId="0" fontId="54" fillId="4" borderId="23" xfId="0" applyFont="1" applyFill="1" applyBorder="1" applyAlignment="1">
      <alignment horizontal="center"/>
    </xf>
    <xf numFmtId="0" fontId="6" fillId="0" borderId="0" xfId="0" applyFont="1" applyFill="1" applyAlignment="1">
      <alignment horizontal="right"/>
    </xf>
    <xf numFmtId="4" fontId="7" fillId="5" borderId="3" xfId="0" applyNumberFormat="1" applyFont="1" applyFill="1" applyBorder="1" applyAlignment="1">
      <alignment horizontal="right"/>
    </xf>
    <xf numFmtId="4" fontId="6" fillId="5" borderId="4" xfId="0" applyNumberFormat="1" applyFont="1" applyFill="1" applyBorder="1" applyAlignment="1">
      <alignment horizontal="right"/>
    </xf>
    <xf numFmtId="0" fontId="6" fillId="0" borderId="2" xfId="0" applyFont="1" applyFill="1" applyBorder="1"/>
    <xf numFmtId="4" fontId="7" fillId="0" borderId="3" xfId="0" applyNumberFormat="1" applyFont="1" applyFill="1" applyBorder="1" applyAlignment="1">
      <alignment horizontal="right"/>
    </xf>
    <xf numFmtId="4" fontId="6" fillId="0" borderId="4" xfId="0" applyNumberFormat="1" applyFont="1" applyFill="1" applyBorder="1" applyAlignment="1">
      <alignment horizontal="right"/>
    </xf>
    <xf numFmtId="0" fontId="6" fillId="0" borderId="26" xfId="0" applyFont="1" applyFill="1" applyBorder="1"/>
    <xf numFmtId="4" fontId="7" fillId="0" borderId="27" xfId="0" applyNumberFormat="1" applyFont="1" applyFill="1" applyBorder="1" applyAlignment="1">
      <alignment horizontal="right"/>
    </xf>
    <xf numFmtId="4" fontId="6" fillId="0" borderId="28" xfId="0" applyNumberFormat="1" applyFont="1" applyFill="1" applyBorder="1" applyAlignment="1">
      <alignment horizontal="right"/>
    </xf>
    <xf numFmtId="0" fontId="51" fillId="6" borderId="1" xfId="0" applyFont="1" applyFill="1" applyBorder="1"/>
    <xf numFmtId="4" fontId="6" fillId="6" borderId="1" xfId="0" applyNumberFormat="1" applyFont="1" applyFill="1" applyBorder="1" applyAlignment="1">
      <alignment horizontal="right"/>
    </xf>
    <xf numFmtId="0" fontId="6" fillId="0" borderId="0" xfId="0" applyFont="1" applyFill="1"/>
    <xf numFmtId="4" fontId="6" fillId="5" borderId="3" xfId="0" applyNumberFormat="1" applyFont="1" applyFill="1" applyBorder="1" applyAlignment="1">
      <alignment horizontal="right"/>
    </xf>
    <xf numFmtId="0" fontId="9" fillId="0" borderId="2" xfId="0" applyFont="1" applyFill="1" applyBorder="1"/>
    <xf numFmtId="4" fontId="9" fillId="0" borderId="3" xfId="0" applyNumberFormat="1" applyFont="1" applyFill="1" applyBorder="1" applyAlignment="1">
      <alignment horizontal="right"/>
    </xf>
    <xf numFmtId="4" fontId="10" fillId="0" borderId="4" xfId="0" applyNumberFormat="1" applyFont="1" applyFill="1" applyBorder="1" applyAlignment="1">
      <alignment horizontal="right"/>
    </xf>
    <xf numFmtId="0" fontId="9" fillId="0" borderId="0" xfId="0" applyFont="1" applyFill="1"/>
    <xf numFmtId="0" fontId="10" fillId="0" borderId="2" xfId="0" applyFont="1" applyFill="1" applyBorder="1"/>
    <xf numFmtId="4" fontId="10" fillId="0" borderId="3" xfId="0" applyNumberFormat="1" applyFont="1" applyFill="1" applyBorder="1" applyAlignment="1">
      <alignment horizontal="right"/>
    </xf>
    <xf numFmtId="0" fontId="10" fillId="0" borderId="0" xfId="0" applyFont="1" applyFill="1"/>
    <xf numFmtId="4" fontId="6" fillId="0" borderId="0" xfId="0" applyNumberFormat="1" applyFont="1" applyFill="1" applyBorder="1" applyAlignment="1">
      <alignment horizontal="right"/>
    </xf>
    <xf numFmtId="0" fontId="6" fillId="5" borderId="1" xfId="0" applyFont="1" applyFill="1" applyBorder="1" applyAlignment="1">
      <alignment horizontal="center"/>
    </xf>
    <xf numFmtId="4" fontId="6" fillId="5" borderId="1" xfId="0" applyNumberFormat="1" applyFont="1" applyFill="1" applyBorder="1" applyAlignment="1">
      <alignment horizontal="center"/>
    </xf>
    <xf numFmtId="0" fontId="6" fillId="5" borderId="0" xfId="0" applyFont="1" applyFill="1" applyAlignment="1">
      <alignment horizontal="center"/>
    </xf>
    <xf numFmtId="4" fontId="6" fillId="0" borderId="3" xfId="0" applyNumberFormat="1" applyFont="1" applyFill="1" applyBorder="1" applyAlignment="1">
      <alignment horizontal="right"/>
    </xf>
    <xf numFmtId="0" fontId="7" fillId="0" borderId="2" xfId="0" applyFont="1" applyFill="1" applyBorder="1"/>
    <xf numFmtId="4" fontId="6" fillId="0" borderId="27" xfId="0" applyNumberFormat="1" applyFont="1" applyFill="1" applyBorder="1" applyAlignment="1">
      <alignment horizontal="right"/>
    </xf>
    <xf numFmtId="9" fontId="6" fillId="5" borderId="1" xfId="1" applyFont="1" applyFill="1" applyBorder="1" applyAlignment="1">
      <alignment horizontal="left"/>
    </xf>
    <xf numFmtId="4" fontId="6" fillId="0" borderId="1" xfId="0" applyNumberFormat="1" applyFont="1" applyFill="1" applyBorder="1" applyAlignment="1">
      <alignment horizontal="right"/>
    </xf>
    <xf numFmtId="0" fontId="6" fillId="5" borderId="8" xfId="0" applyFont="1" applyFill="1" applyBorder="1" applyAlignment="1">
      <alignment horizontal="center"/>
    </xf>
    <xf numFmtId="0" fontId="6" fillId="5" borderId="9" xfId="0" applyFont="1" applyFill="1" applyBorder="1" applyAlignment="1">
      <alignment horizontal="center"/>
    </xf>
    <xf numFmtId="4" fontId="6" fillId="0" borderId="10" xfId="0" applyNumberFormat="1" applyFont="1" applyFill="1" applyBorder="1" applyAlignment="1">
      <alignment horizontal="right"/>
    </xf>
    <xf numFmtId="0" fontId="7" fillId="0" borderId="26" xfId="0" applyFont="1" applyFill="1" applyBorder="1"/>
    <xf numFmtId="0" fontId="53" fillId="4" borderId="1" xfId="0" applyFont="1" applyFill="1" applyBorder="1"/>
    <xf numFmtId="4" fontId="53" fillId="4" borderId="1" xfId="0" applyNumberFormat="1" applyFont="1" applyFill="1" applyBorder="1" applyAlignment="1">
      <alignment horizontal="center"/>
    </xf>
    <xf numFmtId="4" fontId="53" fillId="4" borderId="1" xfId="0" applyNumberFormat="1" applyFont="1" applyFill="1" applyBorder="1"/>
    <xf numFmtId="0" fontId="53" fillId="3" borderId="1" xfId="0" applyFont="1" applyFill="1" applyBorder="1"/>
    <xf numFmtId="4" fontId="53" fillId="3" borderId="1" xfId="0" applyNumberFormat="1" applyFont="1" applyFill="1" applyBorder="1" applyAlignment="1">
      <alignment horizontal="center"/>
    </xf>
    <xf numFmtId="0" fontId="7" fillId="0" borderId="16" xfId="0" applyFont="1" applyFill="1" applyBorder="1"/>
    <xf numFmtId="0" fontId="7" fillId="0" borderId="0" xfId="0" applyFont="1" applyFill="1" applyBorder="1" applyAlignment="1">
      <alignment horizontal="center"/>
    </xf>
    <xf numFmtId="0" fontId="53" fillId="3" borderId="1" xfId="0" applyFont="1" applyFill="1" applyBorder="1" applyAlignment="1">
      <alignment horizontal="center"/>
    </xf>
    <xf numFmtId="0" fontId="6" fillId="0" borderId="16" xfId="0" applyFont="1" applyFill="1" applyBorder="1"/>
    <xf numFmtId="2" fontId="6" fillId="0" borderId="0" xfId="0" applyNumberFormat="1" applyFont="1" applyFill="1" applyBorder="1" applyAlignment="1">
      <alignment horizontal="center"/>
    </xf>
    <xf numFmtId="4" fontId="6" fillId="2" borderId="1" xfId="0" applyNumberFormat="1" applyFont="1" applyFill="1" applyBorder="1"/>
    <xf numFmtId="4" fontId="6" fillId="2" borderId="1" xfId="0" applyNumberFormat="1" applyFont="1" applyFill="1" applyBorder="1" applyAlignment="1">
      <alignment horizontal="center"/>
    </xf>
    <xf numFmtId="4" fontId="6" fillId="2" borderId="1" xfId="0" applyNumberFormat="1" applyFont="1" applyFill="1" applyBorder="1" applyAlignment="1">
      <alignment horizontal="right"/>
    </xf>
    <xf numFmtId="4" fontId="6" fillId="0" borderId="0" xfId="0" applyNumberFormat="1" applyFont="1" applyFill="1"/>
    <xf numFmtId="4" fontId="7" fillId="0" borderId="0" xfId="0" applyNumberFormat="1" applyFont="1" applyFill="1" applyBorder="1" applyAlignment="1">
      <alignment horizontal="right"/>
    </xf>
    <xf numFmtId="0" fontId="6" fillId="0" borderId="1" xfId="0" applyFont="1" applyFill="1" applyBorder="1"/>
    <xf numFmtId="0" fontId="7" fillId="0" borderId="5" xfId="0" applyFont="1" applyFill="1" applyBorder="1"/>
    <xf numFmtId="4" fontId="6" fillId="0" borderId="7" xfId="0" applyNumberFormat="1" applyFont="1" applyFill="1" applyBorder="1" applyAlignment="1">
      <alignment horizontal="right"/>
    </xf>
    <xf numFmtId="4" fontId="6" fillId="0" borderId="0" xfId="0" applyNumberFormat="1" applyFont="1" applyFill="1" applyAlignment="1">
      <alignment horizontal="right"/>
    </xf>
    <xf numFmtId="0" fontId="0" fillId="0" borderId="0" xfId="0" applyFill="1" applyAlignment="1"/>
    <xf numFmtId="0" fontId="0" fillId="22" borderId="0" xfId="0" applyFill="1" applyAlignment="1">
      <alignment horizontal="center"/>
    </xf>
    <xf numFmtId="0" fontId="0" fillId="22" borderId="0" xfId="0" applyFill="1"/>
    <xf numFmtId="0" fontId="0" fillId="23" borderId="0" xfId="0" applyFill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31" borderId="0" xfId="0" applyFill="1" applyAlignment="1">
      <alignment horizontal="center"/>
    </xf>
    <xf numFmtId="0" fontId="0" fillId="31" borderId="0" xfId="0" applyFill="1"/>
    <xf numFmtId="4" fontId="6" fillId="0" borderId="1" xfId="0" applyNumberFormat="1" applyFont="1" applyFill="1" applyBorder="1" applyAlignment="1">
      <alignment horizontal="center"/>
    </xf>
    <xf numFmtId="9" fontId="7" fillId="0" borderId="3" xfId="1" applyFont="1" applyFill="1" applyBorder="1" applyAlignment="1">
      <alignment horizontal="center"/>
    </xf>
    <xf numFmtId="9" fontId="7" fillId="0" borderId="6" xfId="1" applyFont="1" applyFill="1" applyBorder="1" applyAlignment="1">
      <alignment horizontal="center"/>
    </xf>
    <xf numFmtId="9" fontId="6" fillId="0" borderId="1" xfId="0" applyNumberFormat="1" applyFont="1" applyFill="1" applyBorder="1" applyAlignment="1">
      <alignment horizontal="center"/>
    </xf>
    <xf numFmtId="2" fontId="40" fillId="0" borderId="0" xfId="0" applyNumberFormat="1" applyFont="1" applyFill="1" applyAlignment="1">
      <alignment horizontal="center"/>
    </xf>
    <xf numFmtId="0" fontId="25" fillId="12" borderId="34" xfId="0" applyFont="1" applyFill="1" applyBorder="1" applyAlignment="1">
      <alignment horizontal="left"/>
    </xf>
    <xf numFmtId="0" fontId="25" fillId="12" borderId="0" xfId="0" applyFont="1" applyFill="1" applyBorder="1"/>
    <xf numFmtId="0" fontId="9" fillId="9" borderId="2" xfId="0" applyFont="1" applyFill="1" applyBorder="1"/>
    <xf numFmtId="4" fontId="9" fillId="9" borderId="3" xfId="0" applyNumberFormat="1" applyFont="1" applyFill="1" applyBorder="1" applyAlignment="1">
      <alignment horizontal="right"/>
    </xf>
    <xf numFmtId="4" fontId="10" fillId="9" borderId="4" xfId="0" applyNumberFormat="1" applyFont="1" applyFill="1" applyBorder="1" applyAlignment="1">
      <alignment horizontal="right"/>
    </xf>
    <xf numFmtId="49" fontId="6" fillId="0" borderId="0" xfId="0" applyNumberFormat="1" applyFont="1" applyAlignment="1">
      <alignment horizontal="center"/>
    </xf>
    <xf numFmtId="0" fontId="53" fillId="4" borderId="1" xfId="0" applyFont="1" applyFill="1" applyBorder="1" applyAlignment="1">
      <alignment horizontal="center"/>
    </xf>
    <xf numFmtId="49" fontId="53" fillId="4" borderId="11" xfId="0" applyNumberFormat="1" applyFont="1" applyFill="1" applyBorder="1" applyAlignment="1">
      <alignment horizontal="center"/>
    </xf>
    <xf numFmtId="0" fontId="6" fillId="0" borderId="0" xfId="0" applyFont="1"/>
    <xf numFmtId="1" fontId="53" fillId="4" borderId="1" xfId="0" applyNumberFormat="1" applyFont="1" applyFill="1" applyBorder="1" applyAlignment="1">
      <alignment horizontal="center"/>
    </xf>
    <xf numFmtId="0" fontId="40" fillId="0" borderId="1" xfId="0" applyFont="1" applyFill="1" applyBorder="1" applyAlignment="1">
      <alignment horizontal="left"/>
    </xf>
    <xf numFmtId="49" fontId="40" fillId="0" borderId="1" xfId="0" applyNumberFormat="1" applyFont="1" applyFill="1" applyBorder="1" applyAlignment="1">
      <alignment horizontal="center"/>
    </xf>
    <xf numFmtId="0" fontId="53" fillId="0" borderId="1" xfId="0" applyFont="1" applyFill="1" applyBorder="1" applyAlignment="1">
      <alignment horizontal="center"/>
    </xf>
    <xf numFmtId="4" fontId="53" fillId="0" borderId="1" xfId="0" applyNumberFormat="1" applyFont="1" applyFill="1" applyBorder="1" applyAlignment="1">
      <alignment horizontal="center"/>
    </xf>
    <xf numFmtId="49" fontId="7" fillId="0" borderId="0" xfId="0" applyNumberFormat="1" applyFont="1" applyAlignment="1">
      <alignment horizontal="center"/>
    </xf>
    <xf numFmtId="0" fontId="7" fillId="0" borderId="1" xfId="0" applyFont="1" applyBorder="1"/>
    <xf numFmtId="49" fontId="7" fillId="0" borderId="1" xfId="0" applyNumberFormat="1" applyFont="1" applyBorder="1" applyAlignment="1">
      <alignment horizontal="center"/>
    </xf>
    <xf numFmtId="0" fontId="7" fillId="0" borderId="0" xfId="0" applyFont="1"/>
    <xf numFmtId="0" fontId="7" fillId="0" borderId="1" xfId="0" applyFont="1" applyFill="1" applyBorder="1"/>
    <xf numFmtId="49" fontId="7" fillId="0" borderId="1" xfId="0" applyNumberFormat="1" applyFont="1" applyFill="1" applyBorder="1" applyAlignment="1">
      <alignment horizontal="center"/>
    </xf>
    <xf numFmtId="4" fontId="7" fillId="0" borderId="1" xfId="0" applyNumberFormat="1" applyFont="1" applyFill="1" applyBorder="1"/>
    <xf numFmtId="0" fontId="6" fillId="8" borderId="1" xfId="0" applyFont="1" applyFill="1" applyBorder="1"/>
    <xf numFmtId="49" fontId="6" fillId="8" borderId="1" xfId="0" applyNumberFormat="1" applyFont="1" applyFill="1" applyBorder="1" applyAlignment="1">
      <alignment horizontal="center"/>
    </xf>
    <xf numFmtId="4" fontId="6" fillId="8" borderId="1" xfId="0" applyNumberFormat="1" applyFont="1" applyFill="1" applyBorder="1"/>
    <xf numFmtId="49" fontId="40" fillId="0" borderId="0" xfId="0" applyNumberFormat="1" applyFont="1" applyAlignment="1">
      <alignment horizontal="center"/>
    </xf>
    <xf numFmtId="0" fontId="40" fillId="0" borderId="0" xfId="0" applyFont="1"/>
    <xf numFmtId="0" fontId="6" fillId="0" borderId="1" xfId="0" applyFont="1" applyBorder="1"/>
    <xf numFmtId="49" fontId="6" fillId="0" borderId="1" xfId="0" applyNumberFormat="1" applyFont="1" applyBorder="1" applyAlignment="1">
      <alignment horizontal="center"/>
    </xf>
    <xf numFmtId="4" fontId="6" fillId="0" borderId="1" xfId="0" applyNumberFormat="1" applyFont="1" applyBorder="1"/>
    <xf numFmtId="49" fontId="6" fillId="0" borderId="0" xfId="0" applyNumberFormat="1" applyFont="1" applyAlignment="1"/>
    <xf numFmtId="49" fontId="39" fillId="0" borderId="0" xfId="0" applyNumberFormat="1" applyFont="1" applyFill="1" applyAlignment="1">
      <alignment horizontal="center"/>
    </xf>
    <xf numFmtId="0" fontId="39" fillId="0" borderId="1" xfId="0" applyFont="1" applyFill="1" applyBorder="1" applyAlignment="1">
      <alignment horizontal="center"/>
    </xf>
    <xf numFmtId="4" fontId="39" fillId="0" borderId="1" xfId="0" applyNumberFormat="1" applyFont="1" applyFill="1" applyBorder="1" applyAlignment="1">
      <alignment horizontal="center"/>
    </xf>
    <xf numFmtId="0" fontId="39" fillId="0" borderId="0" xfId="0" applyFont="1" applyFill="1"/>
    <xf numFmtId="0" fontId="39" fillId="8" borderId="1" xfId="0" applyFont="1" applyFill="1" applyBorder="1" applyAlignment="1">
      <alignment horizontal="left"/>
    </xf>
    <xf numFmtId="49" fontId="39" fillId="8" borderId="1" xfId="0" applyNumberFormat="1" applyFont="1" applyFill="1" applyBorder="1" applyAlignment="1">
      <alignment horizontal="center"/>
    </xf>
    <xf numFmtId="0" fontId="39" fillId="8" borderId="1" xfId="0" applyFont="1" applyFill="1" applyBorder="1" applyAlignment="1">
      <alignment horizontal="center"/>
    </xf>
    <xf numFmtId="4" fontId="39" fillId="8" borderId="1" xfId="0" applyNumberFormat="1" applyFont="1" applyFill="1" applyBorder="1" applyAlignment="1">
      <alignment horizontal="center"/>
    </xf>
    <xf numFmtId="49" fontId="53" fillId="4" borderId="1" xfId="0" applyNumberFormat="1" applyFont="1" applyFill="1" applyBorder="1" applyAlignment="1">
      <alignment horizontal="center"/>
    </xf>
    <xf numFmtId="9" fontId="53" fillId="4" borderId="1" xfId="1" applyFont="1" applyFill="1" applyBorder="1" applyAlignment="1">
      <alignment horizontal="center"/>
    </xf>
    <xf numFmtId="49" fontId="6" fillId="0" borderId="0" xfId="0" applyNumberFormat="1" applyFont="1" applyFill="1" applyAlignment="1">
      <alignment horizontal="center"/>
    </xf>
    <xf numFmtId="49" fontId="6" fillId="0" borderId="1" xfId="0" applyNumberFormat="1" applyFont="1" applyFill="1" applyBorder="1" applyAlignment="1">
      <alignment horizontal="center"/>
    </xf>
    <xf numFmtId="4" fontId="6" fillId="0" borderId="1" xfId="0" applyNumberFormat="1" applyFont="1" applyFill="1" applyBorder="1"/>
    <xf numFmtId="0" fontId="39" fillId="7" borderId="1" xfId="0" applyFont="1" applyFill="1" applyBorder="1" applyAlignment="1">
      <alignment horizontal="left"/>
    </xf>
    <xf numFmtId="49" fontId="39" fillId="7" borderId="1" xfId="0" applyNumberFormat="1" applyFont="1" applyFill="1" applyBorder="1" applyAlignment="1">
      <alignment horizontal="center"/>
    </xf>
    <xf numFmtId="4" fontId="53" fillId="7" borderId="1" xfId="0" applyNumberFormat="1" applyFont="1" applyFill="1" applyBorder="1"/>
    <xf numFmtId="0" fontId="39" fillId="0" borderId="1" xfId="0" applyFont="1" applyBorder="1" applyAlignment="1">
      <alignment horizontal="left"/>
    </xf>
    <xf numFmtId="49" fontId="39" fillId="0" borderId="1" xfId="0" applyNumberFormat="1" applyFont="1" applyBorder="1" applyAlignment="1">
      <alignment horizontal="center"/>
    </xf>
    <xf numFmtId="49" fontId="39" fillId="2" borderId="1" xfId="0" applyNumberFormat="1" applyFont="1" applyFill="1" applyBorder="1" applyAlignment="1">
      <alignment horizontal="center"/>
    </xf>
    <xf numFmtId="0" fontId="39" fillId="0" borderId="0" xfId="0" applyFont="1"/>
    <xf numFmtId="49" fontId="53" fillId="0" borderId="0" xfId="0" applyNumberFormat="1" applyFont="1" applyAlignment="1">
      <alignment horizontal="center"/>
    </xf>
    <xf numFmtId="4" fontId="39" fillId="2" borderId="1" xfId="0" applyNumberFormat="1" applyFont="1" applyFill="1" applyBorder="1" applyAlignment="1">
      <alignment horizontal="center"/>
    </xf>
    <xf numFmtId="4" fontId="39" fillId="0" borderId="0" xfId="0" applyNumberFormat="1" applyFont="1" applyAlignment="1">
      <alignment horizontal="center"/>
    </xf>
    <xf numFmtId="0" fontId="53" fillId="0" borderId="0" xfId="0" applyFont="1" applyAlignment="1">
      <alignment horizontal="center"/>
    </xf>
    <xf numFmtId="4" fontId="13" fillId="4" borderId="1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40" fillId="0" borderId="1" xfId="0" applyFont="1" applyFill="1" applyBorder="1"/>
    <xf numFmtId="4" fontId="40" fillId="0" borderId="1" xfId="0" applyNumberFormat="1" applyFont="1" applyFill="1" applyBorder="1"/>
    <xf numFmtId="4" fontId="39" fillId="0" borderId="1" xfId="0" applyNumberFormat="1" applyFont="1" applyFill="1" applyBorder="1"/>
    <xf numFmtId="0" fontId="39" fillId="8" borderId="1" xfId="0" applyFont="1" applyFill="1" applyBorder="1"/>
    <xf numFmtId="4" fontId="39" fillId="8" borderId="1" xfId="0" applyNumberFormat="1" applyFont="1" applyFill="1" applyBorder="1"/>
    <xf numFmtId="0" fontId="7" fillId="0" borderId="1" xfId="0" applyFont="1" applyBorder="1" applyAlignment="1">
      <alignment horizontal="left"/>
    </xf>
    <xf numFmtId="0" fontId="7" fillId="0" borderId="1" xfId="0" applyFont="1" applyBorder="1" applyAlignment="1">
      <alignment horizontal="center"/>
    </xf>
    <xf numFmtId="0" fontId="6" fillId="8" borderId="1" xfId="0" applyFont="1" applyFill="1" applyBorder="1" applyAlignment="1">
      <alignment horizontal="left"/>
    </xf>
    <xf numFmtId="4" fontId="7" fillId="0" borderId="0" xfId="0" applyNumberFormat="1" applyFont="1"/>
    <xf numFmtId="4" fontId="7" fillId="0" borderId="0" xfId="0" applyNumberFormat="1" applyFont="1" applyAlignment="1">
      <alignment horizontal="center"/>
    </xf>
    <xf numFmtId="9" fontId="27" fillId="7" borderId="0" xfId="1" applyFont="1" applyFill="1" applyAlignment="1">
      <alignment horizontal="center"/>
    </xf>
    <xf numFmtId="164" fontId="44" fillId="8" borderId="0" xfId="2" applyFont="1" applyFill="1" applyBorder="1" applyAlignment="1"/>
    <xf numFmtId="164" fontId="44" fillId="8" borderId="35" xfId="2" applyFont="1" applyFill="1" applyBorder="1" applyAlignment="1"/>
    <xf numFmtId="164" fontId="44" fillId="8" borderId="30" xfId="2" applyFont="1" applyFill="1" applyBorder="1" applyAlignment="1"/>
    <xf numFmtId="164" fontId="44" fillId="8" borderId="41" xfId="2" applyFont="1" applyFill="1" applyBorder="1" applyAlignmen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right"/>
    </xf>
    <xf numFmtId="166" fontId="1" fillId="0" borderId="0" xfId="0" applyNumberFormat="1" applyFont="1"/>
    <xf numFmtId="166" fontId="35" fillId="0" borderId="0" xfId="0" applyNumberFormat="1" applyFont="1"/>
    <xf numFmtId="0" fontId="53" fillId="4" borderId="1" xfId="0" applyFont="1" applyFill="1" applyBorder="1" applyAlignment="1"/>
    <xf numFmtId="14" fontId="12" fillId="4" borderId="2" xfId="0" applyNumberFormat="1" applyFont="1" applyFill="1" applyBorder="1" applyAlignment="1">
      <alignment horizontal="center"/>
    </xf>
    <xf numFmtId="166" fontId="0" fillId="34" borderId="0" xfId="0" applyNumberFormat="1" applyFill="1"/>
    <xf numFmtId="4" fontId="10" fillId="9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0" fontId="6" fillId="9" borderId="2" xfId="0" applyFont="1" applyFill="1" applyBorder="1"/>
    <xf numFmtId="0" fontId="6" fillId="9" borderId="26" xfId="0" applyFont="1" applyFill="1" applyBorder="1"/>
    <xf numFmtId="0" fontId="10" fillId="9" borderId="2" xfId="0" applyFont="1" applyFill="1" applyBorder="1"/>
    <xf numFmtId="0" fontId="45" fillId="35" borderId="1" xfId="0" applyFont="1" applyFill="1" applyBorder="1"/>
    <xf numFmtId="0" fontId="50" fillId="32" borderId="0" xfId="0" applyFont="1" applyFill="1" applyAlignment="1">
      <alignment horizontal="center"/>
    </xf>
    <xf numFmtId="0" fontId="40" fillId="0" borderId="27" xfId="0" applyNumberFormat="1" applyFont="1" applyFill="1" applyBorder="1" applyAlignment="1">
      <alignment horizontal="center"/>
    </xf>
    <xf numFmtId="0" fontId="53" fillId="32" borderId="11" xfId="0" applyNumberFormat="1" applyFont="1" applyFill="1" applyBorder="1" applyAlignment="1">
      <alignment horizontal="center"/>
    </xf>
    <xf numFmtId="0" fontId="13" fillId="32" borderId="12" xfId="0" applyNumberFormat="1" applyFont="1" applyFill="1" applyBorder="1" applyAlignment="1">
      <alignment horizontal="center"/>
    </xf>
    <xf numFmtId="0" fontId="55" fillId="5" borderId="2" xfId="0" applyFont="1" applyFill="1" applyBorder="1"/>
    <xf numFmtId="0" fontId="53" fillId="0" borderId="2" xfId="0" applyFont="1" applyFill="1" applyBorder="1"/>
    <xf numFmtId="0" fontId="53" fillId="4" borderId="11" xfId="0" applyFont="1" applyFill="1" applyBorder="1" applyAlignment="1">
      <alignment horizontal="center"/>
    </xf>
    <xf numFmtId="0" fontId="6" fillId="13" borderId="26" xfId="0" applyFont="1" applyFill="1" applyBorder="1"/>
    <xf numFmtId="4" fontId="7" fillId="13" borderId="27" xfId="0" applyNumberFormat="1" applyFont="1" applyFill="1" applyBorder="1" applyAlignment="1">
      <alignment horizontal="right"/>
    </xf>
    <xf numFmtId="4" fontId="6" fillId="13" borderId="28" xfId="0" applyNumberFormat="1" applyFont="1" applyFill="1" applyBorder="1" applyAlignment="1">
      <alignment horizontal="right"/>
    </xf>
    <xf numFmtId="4" fontId="6" fillId="2" borderId="4" xfId="0" applyNumberFormat="1" applyFont="1" applyFill="1" applyBorder="1" applyAlignment="1">
      <alignment horizontal="right"/>
    </xf>
    <xf numFmtId="0" fontId="53" fillId="24" borderId="1" xfId="0" applyFont="1" applyFill="1" applyBorder="1" applyAlignment="1">
      <alignment horizontal="center"/>
    </xf>
    <xf numFmtId="49" fontId="53" fillId="24" borderId="11" xfId="0" applyNumberFormat="1" applyFont="1" applyFill="1" applyBorder="1" applyAlignment="1">
      <alignment horizontal="center"/>
    </xf>
    <xf numFmtId="49" fontId="39" fillId="9" borderId="11" xfId="0" applyNumberFormat="1" applyFont="1" applyFill="1" applyBorder="1" applyAlignment="1">
      <alignment horizontal="center"/>
    </xf>
    <xf numFmtId="4" fontId="39" fillId="9" borderId="11" xfId="0" applyNumberFormat="1" applyFont="1" applyFill="1" applyBorder="1" applyAlignment="1">
      <alignment horizontal="center"/>
    </xf>
    <xf numFmtId="4" fontId="39" fillId="9" borderId="25" xfId="0" applyNumberFormat="1" applyFont="1" applyFill="1" applyBorder="1" applyAlignment="1">
      <alignment horizontal="center"/>
    </xf>
    <xf numFmtId="0" fontId="56" fillId="9" borderId="1" xfId="0" applyFont="1" applyFill="1" applyBorder="1" applyAlignment="1">
      <alignment horizontal="center"/>
    </xf>
    <xf numFmtId="49" fontId="39" fillId="9" borderId="1" xfId="0" applyNumberFormat="1" applyFont="1" applyFill="1" applyBorder="1" applyAlignment="1">
      <alignment horizontal="center"/>
    </xf>
    <xf numFmtId="4" fontId="39" fillId="9" borderId="1" xfId="0" applyNumberFormat="1" applyFont="1" applyFill="1" applyBorder="1"/>
    <xf numFmtId="0" fontId="58" fillId="2" borderId="1" xfId="0" applyFont="1" applyFill="1" applyBorder="1" applyAlignment="1">
      <alignment horizontal="center"/>
    </xf>
    <xf numFmtId="0" fontId="57" fillId="9" borderId="1" xfId="0" applyFont="1" applyFill="1" applyBorder="1"/>
    <xf numFmtId="49" fontId="6" fillId="9" borderId="1" xfId="0" applyNumberFormat="1" applyFont="1" applyFill="1" applyBorder="1" applyAlignment="1">
      <alignment horizontal="center"/>
    </xf>
    <xf numFmtId="4" fontId="6" fillId="9" borderId="1" xfId="0" applyNumberFormat="1" applyFont="1" applyFill="1" applyBorder="1"/>
    <xf numFmtId="0" fontId="53" fillId="4" borderId="11" xfId="0" applyFont="1" applyFill="1" applyBorder="1" applyAlignment="1">
      <alignment horizontal="center"/>
    </xf>
    <xf numFmtId="0" fontId="53" fillId="4" borderId="24" xfId="0" applyFont="1" applyFill="1" applyBorder="1" applyAlignment="1">
      <alignment horizontal="center"/>
    </xf>
    <xf numFmtId="0" fontId="53" fillId="4" borderId="25" xfId="0" applyFont="1" applyFill="1" applyBorder="1" applyAlignment="1">
      <alignment horizontal="center"/>
    </xf>
    <xf numFmtId="0" fontId="53" fillId="33" borderId="11" xfId="0" applyFont="1" applyFill="1" applyBorder="1" applyAlignment="1">
      <alignment horizontal="center"/>
    </xf>
    <xf numFmtId="0" fontId="53" fillId="33" borderId="25" xfId="0" applyFont="1" applyFill="1" applyBorder="1" applyAlignment="1">
      <alignment horizontal="center"/>
    </xf>
    <xf numFmtId="4" fontId="53" fillId="24" borderId="11" xfId="0" applyNumberFormat="1" applyFont="1" applyFill="1" applyBorder="1" applyAlignment="1">
      <alignment horizontal="center"/>
    </xf>
    <xf numFmtId="4" fontId="53" fillId="24" borderId="25" xfId="0" applyNumberFormat="1" applyFont="1" applyFill="1" applyBorder="1" applyAlignment="1">
      <alignment horizontal="center"/>
    </xf>
    <xf numFmtId="0" fontId="6" fillId="2" borderId="21" xfId="0" applyFont="1" applyFill="1" applyBorder="1" applyAlignment="1">
      <alignment horizontal="center"/>
    </xf>
    <xf numFmtId="0" fontId="6" fillId="2" borderId="23" xfId="0" applyFont="1" applyFill="1" applyBorder="1" applyAlignment="1">
      <alignment horizontal="center"/>
    </xf>
    <xf numFmtId="4" fontId="6" fillId="2" borderId="21" xfId="0" applyNumberFormat="1" applyFont="1" applyFill="1" applyBorder="1" applyAlignment="1">
      <alignment horizontal="center"/>
    </xf>
    <xf numFmtId="4" fontId="6" fillId="2" borderId="23" xfId="0" applyNumberFormat="1" applyFont="1" applyFill="1" applyBorder="1" applyAlignment="1">
      <alignment horizontal="center"/>
    </xf>
    <xf numFmtId="49" fontId="6" fillId="2" borderId="21" xfId="0" applyNumberFormat="1" applyFont="1" applyFill="1" applyBorder="1" applyAlignment="1">
      <alignment horizontal="center"/>
    </xf>
    <xf numFmtId="49" fontId="6" fillId="2" borderId="23" xfId="0" applyNumberFormat="1" applyFont="1" applyFill="1" applyBorder="1" applyAlignment="1">
      <alignment horizontal="center"/>
    </xf>
    <xf numFmtId="49" fontId="53" fillId="4" borderId="21" xfId="0" applyNumberFormat="1" applyFont="1" applyFill="1" applyBorder="1" applyAlignment="1">
      <alignment horizontal="center"/>
    </xf>
    <xf numFmtId="49" fontId="53" fillId="4" borderId="22" xfId="0" applyNumberFormat="1" applyFont="1" applyFill="1" applyBorder="1" applyAlignment="1">
      <alignment horizontal="center"/>
    </xf>
    <xf numFmtId="49" fontId="53" fillId="4" borderId="23" xfId="0" applyNumberFormat="1" applyFont="1" applyFill="1" applyBorder="1" applyAlignment="1">
      <alignment horizontal="center"/>
    </xf>
    <xf numFmtId="49" fontId="53" fillId="4" borderId="14" xfId="0" applyNumberFormat="1" applyFont="1" applyFill="1" applyBorder="1" applyAlignment="1">
      <alignment horizontal="center"/>
    </xf>
    <xf numFmtId="0" fontId="28" fillId="7" borderId="59" xfId="0" applyFont="1" applyFill="1" applyBorder="1" applyAlignment="1">
      <alignment horizontal="center" vertical="center" wrapText="1"/>
    </xf>
    <xf numFmtId="0" fontId="28" fillId="7" borderId="60" xfId="0" applyFont="1" applyFill="1" applyBorder="1" applyAlignment="1">
      <alignment horizontal="center" vertical="center" wrapText="1"/>
    </xf>
    <xf numFmtId="0" fontId="28" fillId="7" borderId="61" xfId="0" applyFont="1" applyFill="1" applyBorder="1" applyAlignment="1">
      <alignment horizontal="center" vertical="center" wrapText="1"/>
    </xf>
    <xf numFmtId="0" fontId="28" fillId="7" borderId="40" xfId="0" applyFont="1" applyFill="1" applyBorder="1" applyAlignment="1">
      <alignment horizontal="center" vertical="center" wrapText="1"/>
    </xf>
    <xf numFmtId="0" fontId="28" fillId="7" borderId="30" xfId="0" applyFont="1" applyFill="1" applyBorder="1" applyAlignment="1">
      <alignment horizontal="center" vertical="center" wrapText="1"/>
    </xf>
    <xf numFmtId="0" fontId="28" fillId="7" borderId="41" xfId="0" applyFont="1" applyFill="1" applyBorder="1" applyAlignment="1">
      <alignment horizontal="center" vertical="center" wrapText="1"/>
    </xf>
    <xf numFmtId="164" fontId="14" fillId="20" borderId="40" xfId="2" applyFont="1" applyFill="1" applyBorder="1" applyAlignment="1">
      <alignment horizontal="left" vertical="center"/>
    </xf>
    <xf numFmtId="164" fontId="14" fillId="20" borderId="30" xfId="2" applyFont="1" applyFill="1" applyBorder="1" applyAlignment="1">
      <alignment horizontal="left" vertical="center"/>
    </xf>
    <xf numFmtId="0" fontId="20" fillId="19" borderId="50" xfId="0" applyFont="1" applyFill="1" applyBorder="1" applyAlignment="1">
      <alignment horizontal="center" vertical="center" wrapText="1"/>
    </xf>
    <xf numFmtId="0" fontId="20" fillId="19" borderId="51" xfId="0" applyFont="1" applyFill="1" applyBorder="1" applyAlignment="1">
      <alignment horizontal="center" vertical="center" wrapText="1"/>
    </xf>
    <xf numFmtId="164" fontId="14" fillId="7" borderId="52" xfId="0" applyNumberFormat="1" applyFont="1" applyFill="1" applyBorder="1" applyAlignment="1">
      <alignment horizontal="center" vertical="center"/>
    </xf>
    <xf numFmtId="0" fontId="14" fillId="7" borderId="52" xfId="0" applyFont="1" applyFill="1" applyBorder="1" applyAlignment="1">
      <alignment horizontal="center" vertical="center"/>
    </xf>
    <xf numFmtId="0" fontId="28" fillId="7" borderId="53" xfId="0" applyFont="1" applyFill="1" applyBorder="1" applyAlignment="1">
      <alignment horizontal="center" vertical="center" wrapText="1"/>
    </xf>
    <xf numFmtId="0" fontId="28" fillId="7" borderId="32" xfId="0" applyFont="1" applyFill="1" applyBorder="1" applyAlignment="1">
      <alignment horizontal="center" vertical="center" wrapText="1"/>
    </xf>
    <xf numFmtId="0" fontId="28" fillId="7" borderId="33" xfId="0" applyFont="1" applyFill="1" applyBorder="1" applyAlignment="1">
      <alignment horizontal="center" vertical="center" wrapText="1"/>
    </xf>
    <xf numFmtId="0" fontId="28" fillId="7" borderId="56" xfId="0" applyFont="1" applyFill="1" applyBorder="1" applyAlignment="1">
      <alignment horizontal="center" vertical="center" wrapText="1"/>
    </xf>
    <xf numFmtId="0" fontId="28" fillId="7" borderId="57" xfId="0" applyFont="1" applyFill="1" applyBorder="1" applyAlignment="1">
      <alignment horizontal="center" vertical="center" wrapText="1"/>
    </xf>
    <xf numFmtId="0" fontId="28" fillId="7" borderId="58" xfId="0" applyFont="1" applyFill="1" applyBorder="1" applyAlignment="1">
      <alignment horizontal="center" vertical="center" wrapText="1"/>
    </xf>
    <xf numFmtId="0" fontId="30" fillId="7" borderId="54" xfId="0" applyFont="1" applyFill="1" applyBorder="1" applyAlignment="1">
      <alignment horizontal="center" vertical="center"/>
    </xf>
    <xf numFmtId="0" fontId="30" fillId="7" borderId="55" xfId="0" applyFont="1" applyFill="1" applyBorder="1" applyAlignment="1">
      <alignment horizontal="center" vertical="center"/>
    </xf>
    <xf numFmtId="164" fontId="20" fillId="7" borderId="3" xfId="0" applyNumberFormat="1" applyFont="1" applyFill="1" applyBorder="1" applyAlignment="1">
      <alignment horizontal="center" vertical="center"/>
    </xf>
    <xf numFmtId="0" fontId="20" fillId="3" borderId="32" xfId="0" applyFont="1" applyFill="1" applyBorder="1" applyAlignment="1">
      <alignment horizontal="center"/>
    </xf>
    <xf numFmtId="0" fontId="22" fillId="7" borderId="45" xfId="0" applyFont="1" applyFill="1" applyBorder="1" applyAlignment="1">
      <alignment horizontal="center"/>
    </xf>
    <xf numFmtId="0" fontId="22" fillId="7" borderId="0" xfId="0" applyFont="1" applyFill="1" applyBorder="1" applyAlignment="1">
      <alignment horizontal="center"/>
    </xf>
    <xf numFmtId="0" fontId="22" fillId="7" borderId="45" xfId="0" applyFont="1" applyFill="1" applyBorder="1" applyAlignment="1">
      <alignment horizontal="left"/>
    </xf>
    <xf numFmtId="0" fontId="22" fillId="7" borderId="0" xfId="0" applyFont="1" applyFill="1" applyBorder="1" applyAlignment="1">
      <alignment horizontal="left"/>
    </xf>
    <xf numFmtId="0" fontId="44" fillId="8" borderId="40" xfId="0" applyFont="1" applyFill="1" applyBorder="1" applyAlignment="1">
      <alignment horizontal="center"/>
    </xf>
    <xf numFmtId="0" fontId="44" fillId="8" borderId="30" xfId="0" applyFont="1" applyFill="1" applyBorder="1" applyAlignment="1">
      <alignment horizontal="center"/>
    </xf>
    <xf numFmtId="164" fontId="44" fillId="8" borderId="30" xfId="2" applyFont="1" applyFill="1" applyBorder="1" applyAlignment="1">
      <alignment horizontal="center"/>
    </xf>
    <xf numFmtId="0" fontId="42" fillId="24" borderId="31" xfId="0" applyFont="1" applyFill="1" applyBorder="1" applyAlignment="1">
      <alignment horizontal="center"/>
    </xf>
    <xf numFmtId="0" fontId="42" fillId="24" borderId="32" xfId="0" applyFont="1" applyFill="1" applyBorder="1" applyAlignment="1">
      <alignment horizontal="center"/>
    </xf>
    <xf numFmtId="0" fontId="42" fillId="24" borderId="33" xfId="0" applyFont="1" applyFill="1" applyBorder="1" applyAlignment="1">
      <alignment horizontal="center"/>
    </xf>
    <xf numFmtId="0" fontId="24" fillId="15" borderId="0" xfId="0" applyFont="1" applyFill="1" applyBorder="1" applyAlignment="1">
      <alignment horizontal="center"/>
    </xf>
    <xf numFmtId="0" fontId="44" fillId="8" borderId="34" xfId="0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/>
    </xf>
    <xf numFmtId="164" fontId="44" fillId="8" borderId="0" xfId="2" applyFont="1" applyFill="1" applyBorder="1" applyAlignment="1">
      <alignment horizontal="center"/>
    </xf>
    <xf numFmtId="0" fontId="25" fillId="12" borderId="40" xfId="0" applyFont="1" applyFill="1" applyBorder="1" applyAlignment="1">
      <alignment horizontal="center"/>
    </xf>
    <xf numFmtId="0" fontId="25" fillId="12" borderId="30" xfId="0" applyFont="1" applyFill="1" applyBorder="1" applyAlignment="1">
      <alignment horizontal="center"/>
    </xf>
    <xf numFmtId="164" fontId="26" fillId="12" borderId="30" xfId="0" applyNumberFormat="1" applyFont="1" applyFill="1" applyBorder="1" applyAlignment="1">
      <alignment horizontal="center"/>
    </xf>
    <xf numFmtId="0" fontId="26" fillId="12" borderId="30" xfId="0" applyFont="1" applyFill="1" applyBorder="1" applyAlignment="1">
      <alignment horizontal="center"/>
    </xf>
    <xf numFmtId="0" fontId="25" fillId="14" borderId="0" xfId="0" applyFont="1" applyFill="1" applyBorder="1" applyAlignment="1">
      <alignment horizontal="center"/>
    </xf>
    <xf numFmtId="0" fontId="22" fillId="7" borderId="34" xfId="0" applyFont="1" applyFill="1" applyBorder="1" applyAlignment="1">
      <alignment horizontal="right"/>
    </xf>
    <xf numFmtId="0" fontId="22" fillId="7" borderId="0" xfId="0" applyFont="1" applyFill="1" applyBorder="1" applyAlignment="1">
      <alignment horizontal="right"/>
    </xf>
    <xf numFmtId="0" fontId="21" fillId="17" borderId="40" xfId="0" applyFont="1" applyFill="1" applyBorder="1" applyAlignment="1">
      <alignment horizontal="center"/>
    </xf>
    <xf numFmtId="0" fontId="21" fillId="17" borderId="30" xfId="0" applyFont="1" applyFill="1" applyBorder="1" applyAlignment="1">
      <alignment horizontal="center"/>
    </xf>
    <xf numFmtId="0" fontId="42" fillId="33" borderId="31" xfId="0" applyFont="1" applyFill="1" applyBorder="1" applyAlignment="1">
      <alignment horizontal="center"/>
    </xf>
    <xf numFmtId="0" fontId="42" fillId="33" borderId="32" xfId="0" applyFont="1" applyFill="1" applyBorder="1" applyAlignment="1">
      <alignment horizontal="center"/>
    </xf>
    <xf numFmtId="0" fontId="42" fillId="33" borderId="33" xfId="0" applyFont="1" applyFill="1" applyBorder="1" applyAlignment="1">
      <alignment horizontal="center"/>
    </xf>
    <xf numFmtId="0" fontId="21" fillId="16" borderId="31" xfId="0" applyFont="1" applyFill="1" applyBorder="1" applyAlignment="1">
      <alignment horizontal="center"/>
    </xf>
    <xf numFmtId="0" fontId="21" fillId="16" borderId="32" xfId="0" applyFont="1" applyFill="1" applyBorder="1" applyAlignment="1">
      <alignment horizontal="center"/>
    </xf>
    <xf numFmtId="0" fontId="21" fillId="16" borderId="33" xfId="0" applyFont="1" applyFill="1" applyBorder="1" applyAlignment="1">
      <alignment horizontal="center"/>
    </xf>
    <xf numFmtId="0" fontId="16" fillId="14" borderId="0" xfId="0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8" fillId="14" borderId="0" xfId="0" applyFont="1" applyFill="1" applyBorder="1" applyAlignment="1">
      <alignment horizontal="center" vertical="center"/>
    </xf>
    <xf numFmtId="0" fontId="19" fillId="15" borderId="0" xfId="0" applyFont="1" applyFill="1" applyAlignment="1">
      <alignment horizontal="center" vertical="center"/>
    </xf>
    <xf numFmtId="0" fontId="49" fillId="4" borderId="21" xfId="0" applyFont="1" applyFill="1" applyBorder="1" applyAlignment="1">
      <alignment horizontal="center"/>
    </xf>
    <xf numFmtId="0" fontId="49" fillId="4" borderId="23" xfId="0" applyFont="1" applyFill="1" applyBorder="1" applyAlignment="1">
      <alignment horizontal="center"/>
    </xf>
    <xf numFmtId="0" fontId="5" fillId="27" borderId="0" xfId="5" applyFont="1" applyAlignment="1">
      <alignment horizontal="center"/>
    </xf>
    <xf numFmtId="0" fontId="8" fillId="25" borderId="0" xfId="3" applyAlignment="1">
      <alignment horizontal="center"/>
    </xf>
    <xf numFmtId="0" fontId="50" fillId="26" borderId="0" xfId="4" applyFont="1" applyAlignment="1">
      <alignment horizontal="center"/>
    </xf>
    <xf numFmtId="0" fontId="37" fillId="29" borderId="21" xfId="0" applyFont="1" applyFill="1" applyBorder="1" applyAlignment="1">
      <alignment horizontal="center"/>
    </xf>
    <xf numFmtId="0" fontId="37" fillId="29" borderId="23" xfId="0" applyFont="1" applyFill="1" applyBorder="1" applyAlignment="1">
      <alignment horizontal="center"/>
    </xf>
    <xf numFmtId="0" fontId="8" fillId="0" borderId="0" xfId="0" applyFont="1"/>
  </cellXfs>
  <cellStyles count="6">
    <cellStyle name="Énfasis2" xfId="3" builtinId="33"/>
    <cellStyle name="Énfasis5" xfId="4" builtinId="45"/>
    <cellStyle name="Énfasis6" xfId="5" builtinId="49"/>
    <cellStyle name="Moneda" xfId="2" builtinId="4"/>
    <cellStyle name="Normal" xfId="0" builtinId="0"/>
    <cellStyle name="Porcentaje" xfId="1" builtinId="5"/>
  </cellStyles>
  <dxfs count="58">
    <dxf>
      <font>
        <color rgb="FFD60093"/>
      </font>
    </dxf>
    <dxf>
      <font>
        <color rgb="FFD60093"/>
      </font>
    </dxf>
    <dxf>
      <font>
        <color rgb="FFD60093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D60093"/>
      </font>
    </dxf>
    <dxf>
      <font>
        <color rgb="FFD60093"/>
      </font>
    </dxf>
    <dxf>
      <font>
        <color rgb="FFD60093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D60093"/>
      </font>
    </dxf>
    <dxf>
      <font>
        <color rgb="FFD60093"/>
      </font>
    </dxf>
    <dxf>
      <font>
        <color rgb="FFD60093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ill>
        <patternFill>
          <bgColor rgb="FFFF99FF"/>
        </patternFill>
      </fill>
    </dxf>
    <dxf>
      <fill>
        <patternFill patternType="solid">
          <bgColor rgb="FFFF99FF"/>
        </patternFill>
      </fill>
    </dxf>
    <dxf>
      <fill>
        <patternFill patternType="solid">
          <bgColor rgb="FFD60093"/>
        </patternFill>
      </fill>
    </dxf>
    <dxf>
      <fill>
        <patternFill patternType="solid">
          <bgColor rgb="FFD60093"/>
        </patternFill>
      </fill>
    </dxf>
    <dxf>
      <fill>
        <patternFill patternType="solid">
          <bgColor rgb="FFCCFF99"/>
        </patternFill>
      </fill>
    </dxf>
    <dxf>
      <fill>
        <patternFill patternType="solid">
          <bgColor rgb="FFCCFF99"/>
        </patternFill>
      </fill>
    </dxf>
    <dxf>
      <fill>
        <patternFill patternType="solid">
          <bgColor rgb="FFCCFF99"/>
        </patternFill>
      </fill>
    </dxf>
    <dxf>
      <fill>
        <patternFill patternType="solid">
          <bgColor rgb="FFCCFF99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166" formatCode="_-[$$-80A]* #,##0.00_-;\-[$$-80A]* #,##0.00_-;_-[$$-80A]* &quot;-&quot;??_-;_-@_-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general" indent="0" readingOrder="0"/>
    </dxf>
    <dxf>
      <font>
        <sz val="10"/>
      </font>
    </dxf>
    <dxf>
      <numFmt numFmtId="164" formatCode="_-&quot;$&quot;* #,##0.00_-;\-&quot;$&quot;* #,##0.00_-;_-&quot;$&quot;* &quot;-&quot;??_-;_-@_-"/>
    </dxf>
    <dxf>
      <numFmt numFmtId="166" formatCode="_-[$$-80A]* #,##0.00_-;\-[$$-80A]* #,##0.00_-;_-[$$-80A]* &quot;-&quot;??_-;_-@_-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dd/mm/yyyy;@"/>
    </dxf>
    <dxf>
      <alignment horizontal="center" vertical="bottom" textRotation="0" wrapText="0" indent="0" justifyLastLine="0" shrinkToFit="0" readingOrder="0"/>
    </dxf>
    <dxf>
      <numFmt numFmtId="166" formatCode="_-[$$-80A]* #,##0.00_-;\-[$$-80A]* #,##0.00_-;_-[$$-80A]* &quot;-&quot;??_-;_-@_-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dd/mm/yyyy;@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0FF00"/>
      <color rgb="FFD60093"/>
      <color rgb="FFFF99FF"/>
      <color rgb="FF00FFFF"/>
      <color rgb="FF66FF33"/>
      <color rgb="FFCCFF99"/>
      <color rgb="FFFFCCFF"/>
      <color rgb="FFFFFF99"/>
      <color rgb="FFCCEC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s-MX"/>
              <a:t>Percepciones vs Deducciones por mes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DASHBOARD!$B$11</c:f>
              <c:strCache>
                <c:ptCount val="1"/>
                <c:pt idx="0">
                  <c:v>Percepciones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DASHBOARD!$A$12:$A$23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MZO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DASHBOARD!$B$12:$B$23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22006</c:v>
                </c:pt>
                <c:pt idx="3">
                  <c:v>27061</c:v>
                </c:pt>
                <c:pt idx="4">
                  <c:v>16236.599999999999</c:v>
                </c:pt>
                <c:pt idx="5">
                  <c:v>15334.57</c:v>
                </c:pt>
                <c:pt idx="6">
                  <c:v>21648.799999999999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2A-4697-9E6A-06A82EE173A8}"/>
            </c:ext>
          </c:extLst>
        </c:ser>
        <c:ser>
          <c:idx val="1"/>
          <c:order val="1"/>
          <c:tx>
            <c:strRef>
              <c:f>DASHBOARD!$C$11</c:f>
              <c:strCache>
                <c:ptCount val="1"/>
                <c:pt idx="0">
                  <c:v>Deducciones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DASHBOARD!$A$12:$A$23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MZO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DASHBOARD!$C$12:$C$23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7722.54</c:v>
                </c:pt>
                <c:pt idx="3">
                  <c:v>10675.380000000001</c:v>
                </c:pt>
                <c:pt idx="4">
                  <c:v>6457.92</c:v>
                </c:pt>
                <c:pt idx="5">
                  <c:v>6249.9</c:v>
                </c:pt>
                <c:pt idx="6">
                  <c:v>8495.2100000000009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2A-4697-9E6A-06A82EE17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s-MX"/>
              <a:t>Composición del mes seleccionado</a:t>
            </a:r>
          </a:p>
        </c:rich>
      </c:tx>
      <c:overlay val="1"/>
    </c:title>
    <c:autoTitleDeleted val="0"/>
    <c:plotArea>
      <c:layout/>
      <c:pieChart>
        <c:varyColors val="1"/>
        <c:ser>
          <c:idx val="0"/>
          <c:order val="0"/>
          <c:spPr>
            <a:ln>
              <a:prstDash val="solid"/>
            </a:ln>
          </c:spPr>
          <c:cat>
            <c:strRef>
              <c:f>DASHBOARD!$J$7:$J$8</c:f>
              <c:strCache>
                <c:ptCount val="2"/>
                <c:pt idx="0">
                  <c:v>Percepciones</c:v>
                </c:pt>
                <c:pt idx="1">
                  <c:v>Deducciones</c:v>
                </c:pt>
              </c:strCache>
            </c:strRef>
          </c:cat>
          <c:val>
            <c:numRef>
              <c:f>DASHBOARD!$K$7:$K$8</c:f>
              <c:numCache>
                <c:formatCode>General</c:formatCode>
                <c:ptCount val="2"/>
                <c:pt idx="0">
                  <c:v>21648.799999999999</c:v>
                </c:pt>
                <c:pt idx="1">
                  <c:v>8495.2100000000009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D6-40C4-9DD0-E0F60446A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[Concentrado_CFDI_AUTOMATIZADO.xlsm]concentrado!Tabla 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500"/>
              <a:t>Ingresos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concentrado!$C$14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concentrado!$B$15:$B$30</c:f>
              <c:multiLvlStrCache>
                <c:ptCount val="13"/>
                <c:lvl>
                  <c:pt idx="0">
                    <c:v>FEBRERO</c:v>
                  </c:pt>
                  <c:pt idx="1">
                    <c:v>MARZO</c:v>
                  </c:pt>
                  <c:pt idx="2">
                    <c:v>ene</c:v>
                  </c:pt>
                  <c:pt idx="3">
                    <c:v>12</c:v>
                  </c:pt>
                  <c:pt idx="5">
                    <c:v>11</c:v>
                  </c:pt>
                  <c:pt idx="6">
                    <c:v>10</c:v>
                  </c:pt>
                  <c:pt idx="7">
                    <c:v>9</c:v>
                  </c:pt>
                  <c:pt idx="8">
                    <c:v>8</c:v>
                  </c:pt>
                  <c:pt idx="9">
                    <c:v>7</c:v>
                  </c:pt>
                  <c:pt idx="10">
                    <c:v>6</c:v>
                  </c:pt>
                  <c:pt idx="11">
                    <c:v>5</c:v>
                  </c:pt>
                  <c:pt idx="12">
                    <c:v>4</c:v>
                  </c:pt>
                </c:lvl>
                <c:lvl>
                  <c:pt idx="0">
                    <c:v>salario</c:v>
                  </c:pt>
                </c:lvl>
              </c:multiLvlStrCache>
            </c:multiLvlStrRef>
          </c:cat>
          <c:val>
            <c:numRef>
              <c:f>concentrado!$C$15:$C$30</c:f>
              <c:numCache>
                <c:formatCode>_-"$"* #,##0.00_-;\-"$"* #,##0.00_-;_-"$"* "-"??_-;_-@_-</c:formatCode>
                <c:ptCount val="13"/>
                <c:pt idx="2">
                  <c:v>11187.18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05-4821-9186-3FB08B8CA57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639450000"/>
        <c:axId val="1639459248"/>
        <c:axId val="0"/>
      </c:bar3DChart>
      <c:catAx>
        <c:axId val="16394500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39459248"/>
        <c:crosses val="autoZero"/>
        <c:auto val="1"/>
        <c:lblAlgn val="ctr"/>
        <c:lblOffset val="100"/>
        <c:noMultiLvlLbl val="0"/>
      </c:catAx>
      <c:valAx>
        <c:axId val="1639459248"/>
        <c:scaling>
          <c:orientation val="minMax"/>
        </c:scaling>
        <c:delete val="1"/>
        <c:axPos val="b"/>
        <c:numFmt formatCode="_-&quot;$&quot;* #,##0.00_-;\-&quot;$&quot;* #,##0.00_-;_-&quot;$&quot;* &quot;-&quot;??_-;_-@_-" sourceLinked="1"/>
        <c:majorTickMark val="none"/>
        <c:minorTickMark val="none"/>
        <c:tickLblPos val="nextTo"/>
        <c:crossAx val="163945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[Concentrado_CFDI_AUTOMATIZADO.xlsm]concentrado!Tabla dinámica8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500" b="0"/>
              <a:t>Egresos</a:t>
            </a:r>
            <a:endParaRPr lang="en-US" sz="1500" b="1"/>
          </a:p>
          <a:p>
            <a:pPr>
              <a:defRPr/>
            </a:pPr>
            <a:endParaRPr lang="en-US" sz="1200" b="0"/>
          </a:p>
        </c:rich>
      </c:tx>
      <c:layout>
        <c:manualLayout>
          <c:xMode val="edge"/>
          <c:yMode val="edge"/>
          <c:x val="0.4371613048328436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concentrado!$C$42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concentrado!$B$43:$B$44</c:f>
              <c:strCache>
                <c:ptCount val="1"/>
                <c:pt idx="0">
                  <c:v>FEB</c:v>
                </c:pt>
              </c:strCache>
            </c:strRef>
          </c:cat>
          <c:val>
            <c:numRef>
              <c:f>concentrado!$C$43:$C$44</c:f>
              <c:numCache>
                <c:formatCode>_-[$$-80A]* #,##0.00_-;\-[$$-80A]* #,##0.00_-;_-[$$-80A]* "-"??_-;_-@_-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7916-4413-822E-AB4B9F31A28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639451088"/>
        <c:axId val="1639452176"/>
        <c:axId val="0"/>
      </c:bar3DChart>
      <c:catAx>
        <c:axId val="16394510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39452176"/>
        <c:crosses val="autoZero"/>
        <c:auto val="1"/>
        <c:lblAlgn val="ctr"/>
        <c:lblOffset val="100"/>
        <c:noMultiLvlLbl val="0"/>
      </c:catAx>
      <c:valAx>
        <c:axId val="1639452176"/>
        <c:scaling>
          <c:orientation val="minMax"/>
        </c:scaling>
        <c:delete val="1"/>
        <c:axPos val="b"/>
        <c:numFmt formatCode="_-[$$-80A]* #,##0.00_-;\-[$$-80A]* #,##0.00_-;_-[$$-80A]* &quot;-&quot;??_-;_-@_-" sourceLinked="1"/>
        <c:majorTickMark val="none"/>
        <c:minorTickMark val="none"/>
        <c:tickLblPos val="nextTo"/>
        <c:crossAx val="1639451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s-MX"/>
              <a:t>Gastos por categoria (mes elegido)</a:t>
            </a:r>
          </a:p>
        </c:rich>
      </c:tx>
      <c:overlay val="1"/>
    </c:title>
    <c:autoTitleDeleted val="0"/>
    <c:plotArea>
      <c:layout/>
      <c:pieChart>
        <c:varyColors val="1"/>
        <c:ser>
          <c:idx val="0"/>
          <c:order val="0"/>
          <c:spPr>
            <a:ln>
              <a:prstDash val="solid"/>
            </a:ln>
          </c:spPr>
          <c:cat>
            <c:strRef>
              <c:f>'Gastos captura'!$H$6:$H$8</c:f>
              <c:strCache>
                <c:ptCount val="3"/>
                <c:pt idx="0">
                  <c:v>Basico</c:v>
                </c:pt>
                <c:pt idx="1">
                  <c:v>Lujo</c:v>
                </c:pt>
                <c:pt idx="2">
                  <c:v>Ahorro</c:v>
                </c:pt>
              </c:strCache>
            </c:strRef>
          </c:cat>
          <c:val>
            <c:numRef>
              <c:f>'Gastos captura'!$I$6:$I$8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2D-445E-9E6D-6BD139F7B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openxmlformats.org/officeDocument/2006/relationships/hyperlink" Target="https://www.elearningbancoazteca.mx/" TargetMode="Externa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26</xdr:row>
      <xdr:rowOff>0</xdr:rowOff>
    </xdr:from>
    <xdr:ext cx="612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9</xdr:col>
      <xdr:colOff>0</xdr:colOff>
      <xdr:row>26</xdr:row>
      <xdr:rowOff>0</xdr:rowOff>
    </xdr:from>
    <xdr:ext cx="3240000" cy="27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708660</xdr:colOff>
          <xdr:row>1</xdr:row>
          <xdr:rowOff>175260</xdr:rowOff>
        </xdr:from>
        <xdr:to>
          <xdr:col>5</xdr:col>
          <xdr:colOff>594360</xdr:colOff>
          <xdr:row>4</xdr:row>
          <xdr:rowOff>60960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XML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57150</xdr:rowOff>
    </xdr:from>
    <xdr:to>
      <xdr:col>2</xdr:col>
      <xdr:colOff>180974</xdr:colOff>
      <xdr:row>3</xdr:row>
      <xdr:rowOff>228600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" y="57150"/>
          <a:ext cx="1638299" cy="1733550"/>
        </a:xfrm>
        <a:prstGeom prst="rect">
          <a:avLst/>
        </a:prstGeom>
      </xdr:spPr>
    </xdr:pic>
    <xdr:clientData/>
  </xdr:twoCellAnchor>
  <xdr:twoCellAnchor editAs="oneCell">
    <xdr:from>
      <xdr:col>0</xdr:col>
      <xdr:colOff>787400</xdr:colOff>
      <xdr:row>58</xdr:row>
      <xdr:rowOff>12700</xdr:rowOff>
    </xdr:from>
    <xdr:to>
      <xdr:col>10</xdr:col>
      <xdr:colOff>457200</xdr:colOff>
      <xdr:row>61</xdr:row>
      <xdr:rowOff>128389</xdr:rowOff>
    </xdr:to>
    <xdr:pic>
      <xdr:nvPicPr>
        <xdr:cNvPr id="3" name="Imagen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0725" y="12157075"/>
          <a:ext cx="8099425" cy="658614"/>
        </a:xfrm>
        <a:prstGeom prst="rect">
          <a:avLst/>
        </a:prstGeom>
      </xdr:spPr>
    </xdr:pic>
    <xdr:clientData/>
  </xdr:twoCellAnchor>
  <xdr:twoCellAnchor>
    <xdr:from>
      <xdr:col>0</xdr:col>
      <xdr:colOff>714375</xdr:colOff>
      <xdr:row>58</xdr:row>
      <xdr:rowOff>9525</xdr:rowOff>
    </xdr:from>
    <xdr:to>
      <xdr:col>11</xdr:col>
      <xdr:colOff>0</xdr:colOff>
      <xdr:row>62</xdr:row>
      <xdr:rowOff>19050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714375" y="12192000"/>
          <a:ext cx="9086850" cy="733425"/>
        </a:xfrm>
        <a:prstGeom prst="rect">
          <a:avLst/>
        </a:prstGeom>
        <a:solidFill>
          <a:srgbClr val="002060"/>
        </a:solidFill>
        <a:ln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13</xdr:row>
      <xdr:rowOff>47626</xdr:rowOff>
    </xdr:from>
    <xdr:to>
      <xdr:col>8</xdr:col>
      <xdr:colOff>161924</xdr:colOff>
      <xdr:row>35</xdr:row>
      <xdr:rowOff>9525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85725</xdr:colOff>
      <xdr:row>40</xdr:row>
      <xdr:rowOff>66675</xdr:rowOff>
    </xdr:from>
    <xdr:to>
      <xdr:col>8</xdr:col>
      <xdr:colOff>352426</xdr:colOff>
      <xdr:row>64</xdr:row>
      <xdr:rowOff>47625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104775</xdr:colOff>
      <xdr:row>13</xdr:row>
      <xdr:rowOff>85724</xdr:rowOff>
    </xdr:from>
    <xdr:to>
      <xdr:col>11</xdr:col>
      <xdr:colOff>438150</xdr:colOff>
      <xdr:row>40</xdr:row>
      <xdr:rowOff>83820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es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19950" y="2190749"/>
              <a:ext cx="2028825" cy="42862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95251</xdr:colOff>
      <xdr:row>46</xdr:row>
      <xdr:rowOff>142874</xdr:rowOff>
    </xdr:from>
    <xdr:to>
      <xdr:col>11</xdr:col>
      <xdr:colOff>428625</xdr:colOff>
      <xdr:row>55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es 1">
              <a:extLst>
                <a:ext uri="{FF2B5EF4-FFF2-40B4-BE49-F238E27FC236}">
                  <a16:creationId xmlns:a16="http://schemas.microsoft.com/office/drawing/2014/main" id="{00000000-0008-0000-06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10426" y="7591424"/>
              <a:ext cx="2028824" cy="14097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10</xdr:row>
      <xdr:rowOff>0</xdr:rowOff>
    </xdr:from>
    <xdr:ext cx="3600000" cy="234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6228.8450443287" createdVersion="5" refreshedVersion="7" minRefreshableVersion="3" recordCount="24" xr:uid="{00000000-000A-0000-FFFF-FFFF00000000}">
  <cacheSource type="worksheet">
    <worksheetSource name="salidas1"/>
  </cacheSource>
  <cacheFields count="4">
    <cacheField name="fecha" numFmtId="165">
      <sharedItems containsSemiMixedTypes="0" containsNonDate="0" containsDate="1" containsString="0" minDate="2024-01-31T00:00:00" maxDate="2024-04-01T00:00:00"/>
    </cacheField>
    <cacheField name="mes" numFmtId="0">
      <sharedItems containsSemiMixedTypes="0" containsString="0" containsNumber="1" containsInteger="1" minValue="1" maxValue="3" count="3">
        <n v="1"/>
        <n v="2"/>
        <n v="3"/>
      </sharedItems>
    </cacheField>
    <cacheField name="concepto" numFmtId="0">
      <sharedItems count="8">
        <s v="servicios"/>
        <s v="alimentos"/>
        <s v="transportes"/>
        <s v="salud"/>
        <s v="recreacion"/>
        <s v="g personales"/>
        <s v="cumpleaños"/>
        <s v="pago deuda"/>
      </sharedItems>
    </cacheField>
    <cacheField name="valor" numFmtId="166">
      <sharedItems containsString="0" containsBlank="1" containsNumber="1" minValue="0" maxValue="6601.07"/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6228.845044560185" createdVersion="5" refreshedVersion="7" minRefreshableVersion="3" recordCount="57" xr:uid="{00000000-000A-0000-FFFF-FFFF01000000}">
  <cacheSource type="worksheet">
    <worksheetSource name="entradas"/>
  </cacheSource>
  <cacheFields count="4">
    <cacheField name="fecha" numFmtId="165">
      <sharedItems containsNonDate="0" containsDate="1" containsString="0" containsBlank="1" minDate="2024-01-30T00:00:00" maxDate="2025-01-01T00:00:00"/>
    </cacheField>
    <cacheField name="mes" numFmtId="0">
      <sharedItems containsMixedTypes="1" containsNumber="1" containsInteger="1" minValue="1" maxValue="12" count="14">
        <n v="12"/>
        <s v=""/>
        <n v="11"/>
        <n v="10"/>
        <n v="9"/>
        <n v="8"/>
        <n v="7"/>
        <n v="6"/>
        <n v="5"/>
        <n v="4"/>
        <n v="3"/>
        <n v="2"/>
        <s v="01"/>
        <n v="1" u="1"/>
      </sharedItems>
    </cacheField>
    <cacheField name="concepto" numFmtId="0">
      <sharedItems containsBlank="1" count="2">
        <s v="salario"/>
        <m u="1"/>
      </sharedItems>
    </cacheField>
    <cacheField name="valor" numFmtId="166">
      <sharedItems containsString="0" containsBlank="1" containsNumber="1" minValue="2629.09" maxValue="3244.45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d v="2024-01-31T00:00:00"/>
    <x v="0"/>
    <x v="0"/>
    <n v="2373.04"/>
  </r>
  <r>
    <d v="2024-01-31T00:00:00"/>
    <x v="0"/>
    <x v="1"/>
    <n v="6601.07"/>
  </r>
  <r>
    <d v="2024-01-31T00:00:00"/>
    <x v="0"/>
    <x v="2"/>
    <n v="1026"/>
  </r>
  <r>
    <d v="2024-01-31T00:00:00"/>
    <x v="0"/>
    <x v="3"/>
    <n v="0"/>
  </r>
  <r>
    <d v="2024-01-31T00:00:00"/>
    <x v="0"/>
    <x v="4"/>
    <n v="452"/>
  </r>
  <r>
    <d v="2024-01-31T00:00:00"/>
    <x v="0"/>
    <x v="5"/>
    <n v="1061.3"/>
  </r>
  <r>
    <d v="2024-01-31T00:00:00"/>
    <x v="0"/>
    <x v="6"/>
    <n v="0"/>
  </r>
  <r>
    <d v="2024-02-29T00:00:00"/>
    <x v="1"/>
    <x v="0"/>
    <m/>
  </r>
  <r>
    <d v="2024-02-29T00:00:00"/>
    <x v="1"/>
    <x v="1"/>
    <m/>
  </r>
  <r>
    <d v="2024-02-29T00:00:00"/>
    <x v="1"/>
    <x v="2"/>
    <m/>
  </r>
  <r>
    <d v="2024-02-29T00:00:00"/>
    <x v="1"/>
    <x v="3"/>
    <m/>
  </r>
  <r>
    <d v="2024-02-29T00:00:00"/>
    <x v="1"/>
    <x v="4"/>
    <m/>
  </r>
  <r>
    <d v="2024-02-29T00:00:00"/>
    <x v="1"/>
    <x v="5"/>
    <m/>
  </r>
  <r>
    <d v="2024-02-29T00:00:00"/>
    <x v="1"/>
    <x v="6"/>
    <m/>
  </r>
  <r>
    <d v="2024-03-31T00:00:00"/>
    <x v="2"/>
    <x v="0"/>
    <m/>
  </r>
  <r>
    <d v="2024-03-31T00:00:00"/>
    <x v="2"/>
    <x v="1"/>
    <m/>
  </r>
  <r>
    <d v="2024-03-31T00:00:00"/>
    <x v="2"/>
    <x v="2"/>
    <m/>
  </r>
  <r>
    <d v="2024-03-31T00:00:00"/>
    <x v="2"/>
    <x v="3"/>
    <m/>
  </r>
  <r>
    <d v="2024-03-31T00:00:00"/>
    <x v="2"/>
    <x v="4"/>
    <m/>
  </r>
  <r>
    <d v="2024-03-31T00:00:00"/>
    <x v="2"/>
    <x v="5"/>
    <m/>
  </r>
  <r>
    <d v="2024-03-31T00:00:00"/>
    <x v="2"/>
    <x v="6"/>
    <m/>
  </r>
  <r>
    <d v="2024-01-31T00:00:00"/>
    <x v="0"/>
    <x v="7"/>
    <n v="3829"/>
  </r>
  <r>
    <d v="2024-02-29T00:00:00"/>
    <x v="1"/>
    <x v="7"/>
    <m/>
  </r>
  <r>
    <d v="2024-03-31T00:00:00"/>
    <x v="2"/>
    <x v="7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">
  <r>
    <d v="2024-12-31T00:00:00"/>
    <x v="0"/>
    <x v="0"/>
    <m/>
  </r>
  <r>
    <m/>
    <x v="1"/>
    <x v="0"/>
    <m/>
  </r>
  <r>
    <m/>
    <x v="1"/>
    <x v="0"/>
    <m/>
  </r>
  <r>
    <m/>
    <x v="1"/>
    <x v="0"/>
    <m/>
  </r>
  <r>
    <m/>
    <x v="1"/>
    <x v="0"/>
    <m/>
  </r>
  <r>
    <d v="2024-11-30T00:00:00"/>
    <x v="2"/>
    <x v="0"/>
    <m/>
  </r>
  <r>
    <m/>
    <x v="1"/>
    <x v="0"/>
    <m/>
  </r>
  <r>
    <m/>
    <x v="1"/>
    <x v="0"/>
    <m/>
  </r>
  <r>
    <m/>
    <x v="1"/>
    <x v="0"/>
    <m/>
  </r>
  <r>
    <m/>
    <x v="1"/>
    <x v="0"/>
    <m/>
  </r>
  <r>
    <m/>
    <x v="1"/>
    <x v="0"/>
    <m/>
  </r>
  <r>
    <d v="2024-10-30T00:00:00"/>
    <x v="3"/>
    <x v="0"/>
    <m/>
  </r>
  <r>
    <m/>
    <x v="1"/>
    <x v="0"/>
    <m/>
  </r>
  <r>
    <m/>
    <x v="1"/>
    <x v="0"/>
    <m/>
  </r>
  <r>
    <m/>
    <x v="1"/>
    <x v="0"/>
    <m/>
  </r>
  <r>
    <d v="2024-09-30T00:00:00"/>
    <x v="4"/>
    <x v="0"/>
    <m/>
  </r>
  <r>
    <m/>
    <x v="1"/>
    <x v="0"/>
    <m/>
  </r>
  <r>
    <m/>
    <x v="1"/>
    <x v="0"/>
    <m/>
  </r>
  <r>
    <m/>
    <x v="1"/>
    <x v="0"/>
    <m/>
  </r>
  <r>
    <d v="2024-08-30T00:00:00"/>
    <x v="5"/>
    <x v="0"/>
    <m/>
  </r>
  <r>
    <m/>
    <x v="1"/>
    <x v="0"/>
    <m/>
  </r>
  <r>
    <m/>
    <x v="1"/>
    <x v="0"/>
    <m/>
  </r>
  <r>
    <m/>
    <x v="1"/>
    <x v="0"/>
    <m/>
  </r>
  <r>
    <m/>
    <x v="1"/>
    <x v="0"/>
    <m/>
  </r>
  <r>
    <d v="2024-07-30T00:00:00"/>
    <x v="6"/>
    <x v="0"/>
    <m/>
  </r>
  <r>
    <m/>
    <x v="1"/>
    <x v="0"/>
    <m/>
  </r>
  <r>
    <m/>
    <x v="1"/>
    <x v="0"/>
    <m/>
  </r>
  <r>
    <m/>
    <x v="1"/>
    <x v="0"/>
    <m/>
  </r>
  <r>
    <d v="2024-06-30T00:00:00"/>
    <x v="7"/>
    <x v="0"/>
    <m/>
  </r>
  <r>
    <m/>
    <x v="1"/>
    <x v="0"/>
    <m/>
  </r>
  <r>
    <m/>
    <x v="1"/>
    <x v="0"/>
    <m/>
  </r>
  <r>
    <m/>
    <x v="1"/>
    <x v="0"/>
    <m/>
  </r>
  <r>
    <d v="2024-05-30T00:00:00"/>
    <x v="8"/>
    <x v="0"/>
    <m/>
  </r>
  <r>
    <m/>
    <x v="1"/>
    <x v="0"/>
    <m/>
  </r>
  <r>
    <m/>
    <x v="1"/>
    <x v="0"/>
    <m/>
  </r>
  <r>
    <m/>
    <x v="1"/>
    <x v="0"/>
    <m/>
  </r>
  <r>
    <m/>
    <x v="1"/>
    <x v="0"/>
    <m/>
  </r>
  <r>
    <m/>
    <x v="1"/>
    <x v="0"/>
    <m/>
  </r>
  <r>
    <m/>
    <x v="1"/>
    <x v="0"/>
    <m/>
  </r>
  <r>
    <m/>
    <x v="1"/>
    <x v="0"/>
    <m/>
  </r>
  <r>
    <d v="2024-04-30T00:00:00"/>
    <x v="9"/>
    <x v="0"/>
    <m/>
  </r>
  <r>
    <m/>
    <x v="1"/>
    <x v="0"/>
    <m/>
  </r>
  <r>
    <m/>
    <x v="1"/>
    <x v="0"/>
    <m/>
  </r>
  <r>
    <m/>
    <x v="1"/>
    <x v="0"/>
    <m/>
  </r>
  <r>
    <d v="2024-03-31T00:00:00"/>
    <x v="10"/>
    <x v="0"/>
    <m/>
  </r>
  <r>
    <m/>
    <x v="1"/>
    <x v="0"/>
    <m/>
  </r>
  <r>
    <m/>
    <x v="1"/>
    <x v="0"/>
    <m/>
  </r>
  <r>
    <m/>
    <x v="1"/>
    <x v="0"/>
    <m/>
  </r>
  <r>
    <m/>
    <x v="1"/>
    <x v="0"/>
    <m/>
  </r>
  <r>
    <d v="2024-02-29T00:00:00"/>
    <x v="11"/>
    <x v="0"/>
    <m/>
  </r>
  <r>
    <m/>
    <x v="1"/>
    <x v="0"/>
    <m/>
  </r>
  <r>
    <m/>
    <x v="1"/>
    <x v="0"/>
    <m/>
  </r>
  <r>
    <m/>
    <x v="1"/>
    <x v="0"/>
    <m/>
  </r>
  <r>
    <d v="2024-01-30T00:00:00"/>
    <x v="12"/>
    <x v="0"/>
    <n v="3244.45"/>
  </r>
  <r>
    <m/>
    <x v="12"/>
    <x v="0"/>
    <n v="2629.09"/>
  </r>
  <r>
    <m/>
    <x v="12"/>
    <x v="0"/>
    <n v="2631.3399999999997"/>
  </r>
  <r>
    <m/>
    <x v="12"/>
    <x v="0"/>
    <n v="2682.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 dinámica8" cacheId="13" applyNumberFormats="0" applyBorderFormats="0" applyFontFormats="0" applyPatternFormats="0" applyAlignmentFormats="0" applyWidthHeightFormats="1" dataCaption="Valores" updatedVersion="7" minRefreshableVersion="3" useAutoFormatting="1" itemPrintTitles="1" createdVersion="5" indent="0" outline="1" outlineData="1" multipleFieldFilters="0" chartFormat="1">
  <location ref="B42:C44" firstHeaderRow="1" firstDataRow="1" firstDataCol="1"/>
  <pivotFields count="4">
    <pivotField showAll="0"/>
    <pivotField axis="axisRow" showAll="0">
      <items count="4">
        <item n="ENE" h="1" sd="0" x="0"/>
        <item n="FEB" sd="0" x="1"/>
        <item n="MZO" h="1" x="2"/>
        <item t="default"/>
      </items>
    </pivotField>
    <pivotField axis="axisRow" showAll="0">
      <items count="9">
        <item x="1"/>
        <item x="6"/>
        <item x="5"/>
        <item x="4"/>
        <item x="3"/>
        <item x="0"/>
        <item x="2"/>
        <item x="7"/>
        <item t="default"/>
      </items>
    </pivotField>
    <pivotField dataField="1" numFmtId="166" showAll="0"/>
  </pivotFields>
  <rowFields count="2">
    <field x="1"/>
    <field x="2"/>
  </rowFields>
  <rowItems count="2">
    <i>
      <x v="1"/>
    </i>
    <i t="grand">
      <x/>
    </i>
  </rowItems>
  <colItems count="1">
    <i/>
  </colItems>
  <dataFields count="1">
    <dataField name="Suma de valor" fld="3" baseField="0" baseItem="0" numFmtId="166"/>
  </dataFields>
  <formats count="16">
    <format dxfId="36">
      <pivotArea outline="0" collapsedLevelsAreSubtotals="1" fieldPosition="0"/>
    </format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1" type="button" dataOnly="0" labelOnly="1" outline="0" axis="axisRow" fieldPosition="0"/>
    </format>
    <format dxfId="32">
      <pivotArea dataOnly="0" labelOnly="1" outline="0" axis="axisValues" fieldPosition="0"/>
    </format>
    <format dxfId="31">
      <pivotArea dataOnly="0" labelOnly="1" fieldPosition="0">
        <references count="1">
          <reference field="1" count="0"/>
        </references>
      </pivotArea>
    </format>
    <format dxfId="30">
      <pivotArea dataOnly="0" labelOnly="1" grandRow="1" outline="0" fieldPosition="0"/>
    </format>
    <format dxfId="29">
      <pivotArea dataOnly="0" labelOnly="1" fieldPosition="0">
        <references count="2">
          <reference field="1" count="0" selected="0"/>
          <reference field="2" count="0"/>
        </references>
      </pivotArea>
    </format>
    <format dxfId="28">
      <pivotArea dataOnly="0" labelOnly="1" fieldPosition="0">
        <references count="2">
          <reference field="1" count="0" selected="0"/>
          <reference field="2" count="1">
            <x v="0"/>
          </reference>
        </references>
      </pivotArea>
    </format>
    <format dxfId="27">
      <pivotArea dataOnly="0" labelOnly="1" fieldPosition="0">
        <references count="2">
          <reference field="1" count="0" selected="0"/>
          <reference field="2" count="1">
            <x v="5"/>
          </reference>
        </references>
      </pivotArea>
    </format>
    <format dxfId="26">
      <pivotArea dataOnly="0" labelOnly="1" fieldPosition="0">
        <references count="2">
          <reference field="1" count="0" selected="0"/>
          <reference field="2" count="1">
            <x v="6"/>
          </reference>
        </references>
      </pivotArea>
    </format>
    <format dxfId="25">
      <pivotArea dataOnly="0" labelOnly="1" fieldPosition="0">
        <references count="2">
          <reference field="1" count="0" selected="0"/>
          <reference field="2" count="1">
            <x v="4"/>
          </reference>
        </references>
      </pivotArea>
    </format>
    <format dxfId="24">
      <pivotArea dataOnly="0" labelOnly="1" fieldPosition="0">
        <references count="2">
          <reference field="1" count="0" selected="0"/>
          <reference field="2" count="1">
            <x v="1"/>
          </reference>
        </references>
      </pivotArea>
    </format>
    <format dxfId="23">
      <pivotArea dataOnly="0" labelOnly="1" fieldPosition="0">
        <references count="2">
          <reference field="1" count="0" selected="0"/>
          <reference field="2" count="1">
            <x v="2"/>
          </reference>
        </references>
      </pivotArea>
    </format>
    <format dxfId="22">
      <pivotArea dataOnly="0" labelOnly="1" fieldPosition="0">
        <references count="2">
          <reference field="1" count="0" selected="0"/>
          <reference field="2" count="1">
            <x v="3"/>
          </reference>
        </references>
      </pivotArea>
    </format>
    <format dxfId="21">
      <pivotArea dataOnly="0" labelOnly="1" fieldPosition="0">
        <references count="2">
          <reference field="1" count="0" selected="0"/>
          <reference field="2" count="2">
            <x v="1"/>
            <x v="2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 dinámica4" cacheId="17" applyNumberFormats="0" applyBorderFormats="0" applyFontFormats="0" applyPatternFormats="0" applyAlignmentFormats="0" applyWidthHeightFormats="1" dataCaption="Valores" updatedVersion="7" minRefreshableVersion="3" useAutoFormatting="1" itemPrintTitles="1" createdVersion="5" indent="0" outline="1" outlineData="1" multipleFieldFilters="0" chartFormat="3">
  <location ref="B14:C30" firstHeaderRow="1" firstDataRow="1" firstDataCol="1"/>
  <pivotFields count="4">
    <pivotField subtotalTop="0" showAll="0"/>
    <pivotField axis="axisRow" subtotalTop="0" showAll="0">
      <items count="15">
        <item n="ENERO" m="1" x="13"/>
        <item n="FEBRERO" x="11"/>
        <item n="MARZO" x="10"/>
        <item n="ene" x="12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Row" subtotalTop="0" showAll="0">
      <items count="3">
        <item x="0"/>
        <item h="1" sd="0" m="1" x="1"/>
        <item t="default" sd="0"/>
      </items>
    </pivotField>
    <pivotField dataField="1" subtotalTop="0" showAll="0"/>
  </pivotFields>
  <rowFields count="2">
    <field x="2"/>
    <field x="1"/>
  </rowFields>
  <rowItems count="16">
    <i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t="default">
      <x/>
    </i>
    <i t="grand">
      <x/>
    </i>
  </rowItems>
  <colItems count="1">
    <i/>
  </colItems>
  <dataFields count="1">
    <dataField name="Suma de valor" fld="3" baseField="2" baseItem="0" numFmtId="164"/>
  </dataFields>
  <formats count="11">
    <format dxfId="47">
      <pivotArea outline="0" collapsedLevelsAreSubtotals="1" fieldPosition="0"/>
    </format>
    <format dxfId="46">
      <pivotArea type="all" dataOnly="0" outline="0" fieldPosition="0"/>
    </format>
    <format dxfId="45">
      <pivotArea dataOnly="0" labelOnly="1" fieldPosition="0">
        <references count="2">
          <reference field="1" count="0"/>
          <reference field="2" count="0" selected="0"/>
        </references>
      </pivotArea>
    </format>
    <format dxfId="44">
      <pivotArea type="all" dataOnly="0" outline="0" fieldPosition="0"/>
    </format>
    <format dxfId="43">
      <pivotArea outline="0" collapsedLevelsAreSubtotals="1" fieldPosition="0"/>
    </format>
    <format dxfId="42">
      <pivotArea field="2" type="button" dataOnly="0" labelOnly="1" outline="0" axis="axisRow" fieldPosition="0"/>
    </format>
    <format dxfId="41">
      <pivotArea dataOnly="0" labelOnly="1" outline="0" axis="axisValues" fieldPosition="0"/>
    </format>
    <format dxfId="40">
      <pivotArea dataOnly="0" labelOnly="1" fieldPosition="0">
        <references count="1">
          <reference field="2" count="0"/>
        </references>
      </pivotArea>
    </format>
    <format dxfId="39">
      <pivotArea dataOnly="0" labelOnly="1" fieldPosition="0">
        <references count="1">
          <reference field="2" count="0" defaultSubtotal="1"/>
        </references>
      </pivotArea>
    </format>
    <format dxfId="38">
      <pivotArea dataOnly="0" labelOnly="1" grandRow="1" outline="0" fieldPosition="0"/>
    </format>
    <format dxfId="37">
      <pivotArea dataOnly="0" labelOnly="1" fieldPosition="0">
        <references count="2">
          <reference field="1" count="0"/>
          <reference field="2" count="0" selected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9E8B2CED-9E16-4111-B616-AE60E5DBB9CA}" autoFormatId="16" applyNumberFormats="0" applyBorderFormats="0" applyFontFormats="0" applyPatternFormats="0" applyAlignmentFormats="0" applyWidthHeightFormats="0">
  <queryTableRefresh nextId="21">
    <queryTableFields count="20">
      <queryTableField id="1" name="UUID" tableColumnId="1"/>
      <queryTableField id="2" name="Fecha_Emision" tableColumnId="2"/>
      <queryTableField id="3" name="Version" tableColumnId="3"/>
      <queryTableField id="4" name="RFC_Emisor" tableColumnId="4"/>
      <queryTableField id="5" name="Nombre_Emisor" tableColumnId="5"/>
      <queryTableField id="6" name="RFC_Receptor" tableColumnId="6"/>
      <queryTableField id="7" name="Nombre_Receptor" tableColumnId="7"/>
      <queryTableField id="8" name="Tipo_Comprobante" tableColumnId="8"/>
      <queryTableField id="9" name="Serie" tableColumnId="9"/>
      <queryTableField id="10" name="Folio" tableColumnId="10"/>
      <queryTableField id="11" name="Metodo_Pago" tableColumnId="11"/>
      <queryTableField id="12" name="Lugar_Expedicion" tableColumnId="12"/>
      <queryTableField id="13" name="Moneda" tableColumnId="13"/>
      <queryTableField id="14" name="Total" tableColumnId="14"/>
      <queryTableField id="15" name="Fecha_Pago" tableColumnId="15"/>
      <queryTableField id="16" name="Mes" tableColumnId="16"/>
      <queryTableField id="17" name="Percepciones" tableColumnId="17"/>
      <queryTableField id="18" name="Deducciones" tableColumnId="18"/>
      <queryTableField id="19" name="Otros_Pagos" tableColumnId="19"/>
      <queryTableField id="20" name="Validacion_RFC" tableColumnId="2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BF5E0511-7DA4-4399-8962-090D224DD5BA}" autoFormatId="16" applyNumberFormats="0" applyBorderFormats="0" applyFontFormats="0" applyPatternFormats="0" applyAlignmentFormats="0" applyWidthHeightFormats="0">
  <queryTableRefresh nextId="85">
    <queryTableFields count="84">
      <queryTableField id="1" name="N°" tableColumnId="1"/>
      <queryTableField id="2" name="UUID" tableColumnId="2"/>
      <queryTableField id="3" name="Fecha Emision" tableColumnId="3"/>
      <queryTableField id="4" name="Fecha Timbrado" tableColumnId="4"/>
      <queryTableField id="5" name="Version" tableColumnId="5"/>
      <queryTableField id="6" name="RFC Receptor" tableColumnId="6"/>
      <queryTableField id="7" name="Razon Social Emisor" tableColumnId="7"/>
      <queryTableField id="8" name="Regimen Fiscal" tableColumnId="8"/>
      <queryTableField id="9" name="PACCertificador" tableColumnId="9"/>
      <queryTableField id="10" name="Estatus" tableColumnId="10"/>
      <queryTableField id="11" name="Tipo de Comprobante" tableColumnId="11"/>
      <queryTableField id="12" name="Serie" tableColumnId="12"/>
      <queryTableField id="13" name="Folio" tableColumnId="13"/>
      <queryTableField id="14" name="Lugar Expedicion" tableColumnId="14"/>
      <queryTableField id="15" name="Metodo de Pago" tableColumnId="15"/>
      <queryTableField id="16" name="Moneda" tableColumnId="16"/>
      <queryTableField id="17" name="Tipo Nomina" tableColumnId="17"/>
      <queryTableField id="18" name="mes" tableColumnId="18"/>
      <queryTableField id="19" name="Fecha de Pago" tableColumnId="19"/>
      <queryTableField id="20" name="Total de Deducciones" tableColumnId="20"/>
      <queryTableField id="21" name="Total de Otros Pagos" tableColumnId="21"/>
      <queryTableField id="22" name="Registro Patronal" tableColumnId="22"/>
      <queryTableField id="23" name="Curp" tableColumnId="23"/>
      <queryTableField id="24" name="NumSeguridadSocial" tableColumnId="24"/>
      <queryTableField id="25" name="Antiguedad" tableColumnId="25"/>
      <queryTableField id="26" name="TipoJornada" tableColumnId="26"/>
      <queryTableField id="27" name="TipoRegimen" tableColumnId="27"/>
      <queryTableField id="28" name="NumEmpleado" tableColumnId="28"/>
      <queryTableField id="29" name="RiesgoPuesto" tableColumnId="29"/>
      <queryTableField id="30" name="PeriodicidadPago" tableColumnId="30"/>
      <queryTableField id="31" name="Banco" tableColumnId="31"/>
      <queryTableField id="32" name="CuentaBancaria" tableColumnId="32"/>
      <queryTableField id="33" name="SalarioBaseCotApor" tableColumnId="33"/>
      <queryTableField id="34" name="SalarioDiarioIntegrado" tableColumnId="34"/>
      <queryTableField id="35" name="019 HORAS EXTRAS" tableColumnId="35"/>
      <queryTableField id="36" name="010 PUNTUALIDAD Gravado" tableColumnId="36"/>
      <queryTableField id="37" name="010 PUNTUALIDAD Exento" tableColumnId="37"/>
      <queryTableField id="38" name="049 ASISTENCIA Gravado" tableColumnId="38"/>
      <queryTableField id="39" name="049 ASISTENCIA Exento" tableColumnId="39"/>
      <queryTableField id="40" name="003 PTU Gravado" tableColumnId="40"/>
      <queryTableField id="41" name="003 PTU Exento" tableColumnId="41"/>
      <queryTableField id="42" name="002 AGUINALDO Gravado" tableColumnId="42"/>
      <queryTableField id="43" name="002 AGUINALDO Exento" tableColumnId="43"/>
      <queryTableField id="44" name="029 Vales Gravado" tableColumnId="44"/>
      <queryTableField id="45" name="029 Vales Exento" tableColumnId="45"/>
      <queryTableField id="46" name="020 Prima Dominical Gravado" tableColumnId="46"/>
      <queryTableField id="47" name="020 Prima Dominical Exento" tableColumnId="47"/>
      <queryTableField id="48" name="001 SUELDO Gravado" tableColumnId="48"/>
      <queryTableField id="49" name="001 SUELDO Exento" tableColumnId="49"/>
      <queryTableField id="50" name="028 COMISION Gravado" tableColumnId="50"/>
      <queryTableField id="51" name="028 COMISION Exento" tableColumnId="51"/>
      <queryTableField id="52" name="005 Fondo Ahorro Gravado" tableColumnId="52"/>
      <queryTableField id="53" name="005 Fondo Ahorro Exento" tableColumnId="53"/>
      <queryTableField id="54" name="038 Gratificaciones Gravado" tableColumnId="54"/>
      <queryTableField id="55" name="038 Gratificaciones Exento" tableColumnId="55"/>
      <queryTableField id="56" name="021 Prima Vac Gravado" tableColumnId="56"/>
      <queryTableField id="57" name="021 Prima Vac Exento" tableColumnId="57"/>
      <queryTableField id="58" name="PERCEPCIONES" tableColumnId="58"/>
      <queryTableField id="59" name="002 Subsidio Empleo" tableColumnId="59"/>
      <queryTableField id="60" name="999 Ajuste Moneda P" tableColumnId="60"/>
      <queryTableField id="61" name="007 ISR Ajustado" tableColumnId="61"/>
      <queryTableField id="62" name="004 ISPT a Compensar" tableColumnId="62"/>
      <queryTableField id="63" name="OP Subsidio Causado" tableColumnId="63"/>
      <queryTableField id="64" name="OP Saldo Favor" tableColumnId="64"/>
      <queryTableField id="65" name="OP Anio" tableColumnId="65"/>
      <queryTableField id="66" name="OP Remanente" tableColumnId="66"/>
      <queryTableField id="67" name="OTROS PAGOS" tableColumnId="67"/>
      <queryTableField id="68" name="002 ISPT" tableColumnId="68"/>
      <queryTableField id="69" name="010 INFONAVIT" tableColumnId="69"/>
      <queryTableField id="70" name="004 Ajuste Moneda D" tableColumnId="70"/>
      <queryTableField id="71" name="007 Pension Alimenticia" tableColumnId="71"/>
      <queryTableField id="72" name="011 FONACOT" tableColumnId="72"/>
      <queryTableField id="73" name="001 IMSS" tableColumnId="73"/>
      <queryTableField id="74" name="101 ISPT A CARGO" tableColumnId="74"/>
      <queryTableField id="75" name="107 Ajuste Subsidio" tableColumnId="75"/>
      <queryTableField id="76" name="018 Ahorro" tableColumnId="76"/>
      <queryTableField id="77" name="021 Aport IMSS" tableColumnId="77"/>
      <queryTableField id="78" name="009 Prestamo Vivienda" tableColumnId="78"/>
      <queryTableField id="79" name="DEDUCCIONES" tableColumnId="79"/>
      <queryTableField id="80" name="02 Dias Incapacidad" tableColumnId="80"/>
      <queryTableField id="81" name="INCAPACIDADES" tableColumnId="81"/>
      <queryTableField id="82" name="NETO" tableColumnId="82"/>
      <queryTableField id="83" name="NETO2" tableColumnId="83"/>
      <queryTableField id="84" name="Validacion_RFC" tableColumnId="8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1" xr10:uid="{00000000-0013-0000-FFFF-FFFF01000000}" sourceName="mes">
  <pivotTables>
    <pivotTable tabId="32" name="Tabla dinámica8"/>
  </pivotTables>
  <data>
    <tabular pivotCacheId="2">
      <items count="3">
        <i x="0"/>
        <i x="1" s="1" nd="1"/>
        <i x="2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00000000-0013-0000-FFFF-FFFF02000000}" sourceName="mes">
  <pivotTables>
    <pivotTable tabId="32" name="Tabla dinámica4"/>
  </pivotTables>
  <data>
    <tabular pivotCacheId="1">
      <items count="14">
        <i x="12" s="1"/>
        <i x="9" s="1" nd="1"/>
        <i x="8" s="1" nd="1"/>
        <i x="7" s="1" nd="1"/>
        <i x="6" s="1" nd="1"/>
        <i x="5" s="1" nd="1"/>
        <i x="4" s="1" nd="1"/>
        <i x="3" s="1" nd="1"/>
        <i x="2" s="1" nd="1"/>
        <i x="0" s="1" nd="1"/>
        <i x="1" s="1" nd="1"/>
        <i x="13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 1" xr10:uid="{00000000-0014-0000-FFFF-FFFF01000000}" cache="SegmentaciónDeDatos_mes1" caption="mes" rowHeight="241300"/>
  <slicer name="mes" xr10:uid="{00000000-0014-0000-FFFF-FFFF02000000}" cache="SegmentaciónDeDatos_mes" caption="mes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BD267C-17E5-48E1-ABDC-DC50E74A7233}" name="Consulta1" displayName="Consulta1" ref="A1:T19" tableType="queryTable" totalsRowShown="0">
  <autoFilter ref="A1:T19" xr:uid="{10BD267C-17E5-48E1-ABDC-DC50E74A7233}"/>
  <tableColumns count="20">
    <tableColumn id="1" xr3:uid="{D3981525-68C6-49D9-B5C5-D717732E10CC}" uniqueName="1" name="UUID" queryTableFieldId="1"/>
    <tableColumn id="2" xr3:uid="{34767777-2321-47AD-AD15-4574375CB580}" uniqueName="2" name="Fecha_Emision" queryTableFieldId="2"/>
    <tableColumn id="3" xr3:uid="{3337A796-5C19-4E78-A2E8-22AD6545CFE5}" uniqueName="3" name="Version" queryTableFieldId="3"/>
    <tableColumn id="4" xr3:uid="{3330A6FA-8249-464B-96F1-B7A6B2591B4C}" uniqueName="4" name="RFC_Emisor" queryTableFieldId="4"/>
    <tableColumn id="5" xr3:uid="{5AE3826B-4FFE-4718-892D-3E4E0DC611E7}" uniqueName="5" name="Nombre_Emisor" queryTableFieldId="5"/>
    <tableColumn id="6" xr3:uid="{0AD1DB53-9D7A-471B-99F1-B16070392205}" uniqueName="6" name="RFC_Receptor" queryTableFieldId="6"/>
    <tableColumn id="7" xr3:uid="{A8934590-E765-460E-9F60-B6DE2C40866B}" uniqueName="7" name="Nombre_Receptor" queryTableFieldId="7"/>
    <tableColumn id="8" xr3:uid="{E942D55A-7CE8-4ED4-8882-40BAA41DD7F6}" uniqueName="8" name="Tipo_Comprobante" queryTableFieldId="8"/>
    <tableColumn id="9" xr3:uid="{28BDF0D5-1766-4741-BFD1-B8B70A4E6958}" uniqueName="9" name="Serie" queryTableFieldId="9"/>
    <tableColumn id="10" xr3:uid="{5F581FC8-AAAD-47C7-A1AC-7A372DD970D9}" uniqueName="10" name="Folio" queryTableFieldId="10"/>
    <tableColumn id="11" xr3:uid="{948127CC-7226-4C5D-8728-6D42D491901B}" uniqueName="11" name="Metodo_Pago" queryTableFieldId="11"/>
    <tableColumn id="12" xr3:uid="{0E0D4454-50E0-424E-ACBF-A1146D23678E}" uniqueName="12" name="Lugar_Expedicion" queryTableFieldId="12"/>
    <tableColumn id="13" xr3:uid="{44EA0F62-87C5-48DE-9C0C-EEAE78447787}" uniqueName="13" name="Moneda" queryTableFieldId="13"/>
    <tableColumn id="14" xr3:uid="{204D5A40-B5A5-4DDE-A4E4-82AB89615FA3}" uniqueName="14" name="Total" queryTableFieldId="14"/>
    <tableColumn id="15" xr3:uid="{B6912171-153C-414B-9CA8-CB20EFED5F94}" uniqueName="15" name="Fecha_Pago" queryTableFieldId="15"/>
    <tableColumn id="16" xr3:uid="{B50DD715-6F77-4224-AF19-8276CEDAEAEB}" uniqueName="16" name="Mes" queryTableFieldId="16"/>
    <tableColumn id="17" xr3:uid="{1408125A-4E92-46C5-B2BC-305FB326CD59}" uniqueName="17" name="Percepciones" queryTableFieldId="17"/>
    <tableColumn id="18" xr3:uid="{F4686119-0D64-4A6F-B1DE-9BBCC00A64A8}" uniqueName="18" name="Deducciones" queryTableFieldId="18"/>
    <tableColumn id="19" xr3:uid="{96C2A40F-A560-4B78-91EC-F0CC0293D803}" uniqueName="19" name="Otros_Pagos" queryTableFieldId="19"/>
    <tableColumn id="20" xr3:uid="{9B10182C-4400-48BA-B829-3AE9A560F741}" uniqueName="20" name="Validacion_RFC" queryTableFieldId="2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F6247A-CD53-4BB8-A282-50E5B881D707}" name="CFDI" displayName="CFDI" ref="A1:CF19" tableType="queryTable" totalsRowShown="0">
  <autoFilter ref="A1:CF19" xr:uid="{5CF6247A-CD53-4BB8-A282-50E5B881D707}"/>
  <tableColumns count="84">
    <tableColumn id="1" xr3:uid="{E04445DD-8E08-4900-8EBA-B5B38CE02228}" uniqueName="1" name="N°" queryTableFieldId="1"/>
    <tableColumn id="2" xr3:uid="{5A40DF32-F0E7-4C3E-93A7-9784528E8FDF}" uniqueName="2" name="UUID" queryTableFieldId="2"/>
    <tableColumn id="3" xr3:uid="{A995BE2A-9CA2-4299-8FD9-D5B17A67CCD5}" uniqueName="3" name="Fecha Emision" queryTableFieldId="3"/>
    <tableColumn id="4" xr3:uid="{34A0809F-426C-4CE1-AFCA-056BFA67F966}" uniqueName="4" name="Fecha Timbrado" queryTableFieldId="4"/>
    <tableColumn id="5" xr3:uid="{E227C122-9744-4733-AD0F-53CCFFCFD092}" uniqueName="5" name="Version" queryTableFieldId="5"/>
    <tableColumn id="6" xr3:uid="{5A422856-DAF0-4D81-B9AD-8F2DF811CAFC}" uniqueName="6" name="RFC Receptor" queryTableFieldId="6"/>
    <tableColumn id="7" xr3:uid="{66D9E48E-5EE1-4863-A820-8A92D0936E72}" uniqueName="7" name="Razon Social Emisor" queryTableFieldId="7"/>
    <tableColumn id="8" xr3:uid="{A4D27463-E7CD-45BF-B49C-74776A216141}" uniqueName="8" name="Regimen Fiscal" queryTableFieldId="8"/>
    <tableColumn id="9" xr3:uid="{70CD23F5-8B92-4B52-9779-94E89CEA0144}" uniqueName="9" name="PACCertificador" queryTableFieldId="9"/>
    <tableColumn id="10" xr3:uid="{E0F9206C-0664-45B8-A407-452F0CE9EDAD}" uniqueName="10" name="Estatus" queryTableFieldId="10"/>
    <tableColumn id="11" xr3:uid="{07FF6839-322B-47E2-8BA7-137AC1CE9752}" uniqueName="11" name="Tipo de Comprobante" queryTableFieldId="11"/>
    <tableColumn id="12" xr3:uid="{0B2F1AE7-7E72-4B64-A03A-B37530A9AA8A}" uniqueName="12" name="Serie" queryTableFieldId="12"/>
    <tableColumn id="13" xr3:uid="{A34C6DAA-C2FA-4BE8-8E8B-223F11C361A1}" uniqueName="13" name="Folio" queryTableFieldId="13"/>
    <tableColumn id="14" xr3:uid="{DB833189-1601-41F4-AF83-EC77837FB203}" uniqueName="14" name="Lugar Expedicion" queryTableFieldId="14"/>
    <tableColumn id="15" xr3:uid="{7D55483C-5528-4997-97E0-D28BC0CE7EFF}" uniqueName="15" name="Metodo de Pago" queryTableFieldId="15"/>
    <tableColumn id="16" xr3:uid="{84EB7F1A-8978-4648-9F49-C990F5FC3BD8}" uniqueName="16" name="Moneda" queryTableFieldId="16"/>
    <tableColumn id="17" xr3:uid="{C72239DF-44C5-4425-92C1-7B288914A147}" uniqueName="17" name="Tipo Nomina" queryTableFieldId="17"/>
    <tableColumn id="18" xr3:uid="{F313D680-5F56-4BAC-9A87-9524CF303038}" uniqueName="18" name="mes" queryTableFieldId="18"/>
    <tableColumn id="19" xr3:uid="{250D7136-4D89-4F9C-B14F-C399CF4009A8}" uniqueName="19" name="Fecha de Pago" queryTableFieldId="19"/>
    <tableColumn id="20" xr3:uid="{8E266F75-3503-469A-9935-09B880D01D12}" uniqueName="20" name="Total de Deducciones" queryTableFieldId="20"/>
    <tableColumn id="21" xr3:uid="{44213986-0760-4013-88B9-063D5ED90DD7}" uniqueName="21" name="Total de Otros Pagos" queryTableFieldId="21"/>
    <tableColumn id="22" xr3:uid="{E18037B7-C6DF-4E9E-84E1-D0891070FCAC}" uniqueName="22" name="Registro Patronal" queryTableFieldId="22"/>
    <tableColumn id="23" xr3:uid="{5099FEFB-B6DC-4107-8BBF-2C0DC2C2B26B}" uniqueName="23" name="Curp" queryTableFieldId="23"/>
    <tableColumn id="24" xr3:uid="{D5A6C26B-24FC-4BF0-9D7E-3CB5C9B94515}" uniqueName="24" name="NumSeguridadSocial" queryTableFieldId="24"/>
    <tableColumn id="25" xr3:uid="{409D4990-2D20-4DFE-9D8A-251450BEFEED}" uniqueName="25" name="Antiguedad" queryTableFieldId="25"/>
    <tableColumn id="26" xr3:uid="{01D6EE1C-80FE-428C-A7BB-CC4FDDCD1BBF}" uniqueName="26" name="TipoJornada" queryTableFieldId="26"/>
    <tableColumn id="27" xr3:uid="{D6B1626D-D761-44F0-90B9-45BE4F96BCD0}" uniqueName="27" name="TipoRegimen" queryTableFieldId="27"/>
    <tableColumn id="28" xr3:uid="{B5807E81-C907-4052-99A6-330C543A05AB}" uniqueName="28" name="NumEmpleado" queryTableFieldId="28"/>
    <tableColumn id="29" xr3:uid="{6B21C449-C2FA-4F4C-95C0-BC0F62328AA9}" uniqueName="29" name="RiesgoPuesto" queryTableFieldId="29"/>
    <tableColumn id="30" xr3:uid="{BD0D0DA9-CA56-4ADA-AE23-B0C8ECD8F67D}" uniqueName="30" name="PeriodicidadPago" queryTableFieldId="30"/>
    <tableColumn id="31" xr3:uid="{00757FB4-E774-4649-BD88-C598F43F5624}" uniqueName="31" name="Banco" queryTableFieldId="31"/>
    <tableColumn id="32" xr3:uid="{632682C3-AF68-458F-AC09-01274024B2D0}" uniqueName="32" name="CuentaBancaria" queryTableFieldId="32"/>
    <tableColumn id="33" xr3:uid="{287C91CE-CE58-466C-B2BD-240EB28ABA63}" uniqueName="33" name="SalarioBaseCotApor" queryTableFieldId="33"/>
    <tableColumn id="34" xr3:uid="{4231137D-744C-46A3-ACA1-0C3811380CF2}" uniqueName="34" name="SalarioDiarioIntegrado" queryTableFieldId="34"/>
    <tableColumn id="35" xr3:uid="{BCD74F29-1556-450E-827A-BB1E82402D87}" uniqueName="35" name="019 HORAS EXTRAS" queryTableFieldId="35"/>
    <tableColumn id="36" xr3:uid="{2351B2DE-7480-4F30-8673-AEA8CD570D63}" uniqueName="36" name="010 PUNTUALIDAD Gravado" queryTableFieldId="36"/>
    <tableColumn id="37" xr3:uid="{43140375-D1C0-4385-A2E2-A8EA74A2B2B0}" uniqueName="37" name="010 PUNTUALIDAD Exento" queryTableFieldId="37"/>
    <tableColumn id="38" xr3:uid="{516F4C0E-FC7F-4A50-B748-255EFA736750}" uniqueName="38" name="049 ASISTENCIA Gravado" queryTableFieldId="38"/>
    <tableColumn id="39" xr3:uid="{0FC4EEF2-0D21-4C9F-AB69-6E3CF4D2F25D}" uniqueName="39" name="049 ASISTENCIA Exento" queryTableFieldId="39"/>
    <tableColumn id="40" xr3:uid="{39BF6209-9476-44C8-8104-01D68D1FE5D6}" uniqueName="40" name="003 PTU Gravado" queryTableFieldId="40"/>
    <tableColumn id="41" xr3:uid="{45B6E0E0-5162-4C39-9910-6D546B105463}" uniqueName="41" name="003 PTU Exento" queryTableFieldId="41"/>
    <tableColumn id="42" xr3:uid="{81558097-6874-4B00-84A5-F75276E4AEAC}" uniqueName="42" name="002 AGUINALDO Gravado" queryTableFieldId="42"/>
    <tableColumn id="43" xr3:uid="{34D4FF8F-6587-4025-AF22-CF3C2249E4BD}" uniqueName="43" name="002 AGUINALDO Exento" queryTableFieldId="43"/>
    <tableColumn id="44" xr3:uid="{0092DF3A-0E7B-46CB-84D5-22748D1B1007}" uniqueName="44" name="029 Vales Gravado" queryTableFieldId="44"/>
    <tableColumn id="45" xr3:uid="{00213701-AA6C-4487-B983-BAFF1FC3F72D}" uniqueName="45" name="029 Vales Exento" queryTableFieldId="45"/>
    <tableColumn id="46" xr3:uid="{1B96738C-D173-4E6D-A508-EE12F15BBCFF}" uniqueName="46" name="020 Prima Dominical Gravado" queryTableFieldId="46"/>
    <tableColumn id="47" xr3:uid="{346848C9-8A66-4E39-BDEC-8D369639575A}" uniqueName="47" name="020 Prima Dominical Exento" queryTableFieldId="47"/>
    <tableColumn id="48" xr3:uid="{910AF114-B434-4271-9487-70DD5D74A104}" uniqueName="48" name="001 SUELDO Gravado" queryTableFieldId="48"/>
    <tableColumn id="49" xr3:uid="{5BD994C7-B2DF-4D3D-A52E-56E065E6A4EF}" uniqueName="49" name="001 SUELDO Exento" queryTableFieldId="49"/>
    <tableColumn id="50" xr3:uid="{FA72AEBA-9C5A-4B41-A810-DDD3216A2718}" uniqueName="50" name="028 COMISION Gravado" queryTableFieldId="50"/>
    <tableColumn id="51" xr3:uid="{7A70F6F6-F5D7-4444-B704-005CE7EFDCEA}" uniqueName="51" name="028 COMISION Exento" queryTableFieldId="51"/>
    <tableColumn id="52" xr3:uid="{AC531785-307A-4081-9D7A-8BB0527D2608}" uniqueName="52" name="005 Fondo Ahorro Gravado" queryTableFieldId="52"/>
    <tableColumn id="53" xr3:uid="{E471A0A5-30C3-4858-9308-B7F176CEA959}" uniqueName="53" name="005 Fondo Ahorro Exento" queryTableFieldId="53"/>
    <tableColumn id="54" xr3:uid="{7CD98E55-B34F-4A6A-BC6E-73CAE4C65D58}" uniqueName="54" name="038 Gratificaciones Gravado" queryTableFieldId="54"/>
    <tableColumn id="55" xr3:uid="{9D7FBE77-FE3F-4D70-8DA3-4E2B1223EF35}" uniqueName="55" name="038 Gratificaciones Exento" queryTableFieldId="55"/>
    <tableColumn id="56" xr3:uid="{3DFB2F33-DAC8-4783-9474-AB79A1312628}" uniqueName="56" name="021 Prima Vac Gravado" queryTableFieldId="56"/>
    <tableColumn id="57" xr3:uid="{5DC25B4E-C7C8-4DFF-8E53-A835A5F523D4}" uniqueName="57" name="021 Prima Vac Exento" queryTableFieldId="57"/>
    <tableColumn id="58" xr3:uid="{8EA5FFD5-5A3C-4D3E-957C-E1585B50596D}" uniqueName="58" name="PERCEPCIONES" queryTableFieldId="58"/>
    <tableColumn id="59" xr3:uid="{18A2B12C-9AC4-4BBF-B083-64A42B481904}" uniqueName="59" name="002 Subsidio Empleo" queryTableFieldId="59"/>
    <tableColumn id="60" xr3:uid="{0C2E581D-795D-479D-9615-64E13BAF7A52}" uniqueName="60" name="999 Ajuste Moneda P" queryTableFieldId="60"/>
    <tableColumn id="61" xr3:uid="{481FBA0C-60C9-45B6-8E0A-2D1D3B1F6A90}" uniqueName="61" name="007 ISR Ajustado" queryTableFieldId="61"/>
    <tableColumn id="62" xr3:uid="{0FE3D973-F075-40DE-B01F-799612F6DD46}" uniqueName="62" name="004 ISPT a Compensar" queryTableFieldId="62"/>
    <tableColumn id="63" xr3:uid="{A1AA7A03-91A2-426E-A983-4FC6CEC6B30E}" uniqueName="63" name="OP Subsidio Causado" queryTableFieldId="63"/>
    <tableColumn id="64" xr3:uid="{8FE156C7-E996-43E0-8EF6-A4EBC581F929}" uniqueName="64" name="OP Saldo Favor" queryTableFieldId="64"/>
    <tableColumn id="65" xr3:uid="{BBE50DB7-2EBE-44D1-9F07-BEDFA39008F7}" uniqueName="65" name="OP Anio" queryTableFieldId="65"/>
    <tableColumn id="66" xr3:uid="{D76EC3E5-605D-4E65-B20F-43294EE3F71B}" uniqueName="66" name="OP Remanente" queryTableFieldId="66"/>
    <tableColumn id="67" xr3:uid="{56C63CF9-E175-4C20-8676-ECE1ADA66890}" uniqueName="67" name="OTROS PAGOS" queryTableFieldId="67"/>
    <tableColumn id="68" xr3:uid="{344E352A-6935-484B-B5A5-509215934C2D}" uniqueName="68" name="002 ISPT" queryTableFieldId="68"/>
    <tableColumn id="69" xr3:uid="{A13291EC-CF0F-46EF-A23E-2B75CDB83B51}" uniqueName="69" name="010 INFONAVIT" queryTableFieldId="69"/>
    <tableColumn id="70" xr3:uid="{44A6CD2C-9D21-4A52-9913-740EACB37E5F}" uniqueName="70" name="004 Ajuste Moneda D" queryTableFieldId="70"/>
    <tableColumn id="71" xr3:uid="{EFFF7157-7E86-49C4-8DE1-58E1427EC2EF}" uniqueName="71" name="007 Pension Alimenticia" queryTableFieldId="71"/>
    <tableColumn id="72" xr3:uid="{E520213F-21B5-4B46-A1F1-B7E061321310}" uniqueName="72" name="011 FONACOT" queryTableFieldId="72"/>
    <tableColumn id="73" xr3:uid="{1E95432A-82BE-4FC1-83F7-8D3451C38C6A}" uniqueName="73" name="001 IMSS" queryTableFieldId="73"/>
    <tableColumn id="74" xr3:uid="{D670C197-97F4-4FD6-9121-F2C2D3AAAD61}" uniqueName="74" name="101 ISPT A CARGO" queryTableFieldId="74"/>
    <tableColumn id="75" xr3:uid="{4A2D4A7A-9687-40C4-AAB1-653D38EEBC2A}" uniqueName="75" name="107 Ajuste Subsidio" queryTableFieldId="75"/>
    <tableColumn id="76" xr3:uid="{65A229A5-1A96-457A-87BC-4D980EC20F6F}" uniqueName="76" name="018 Ahorro" queryTableFieldId="76"/>
    <tableColumn id="77" xr3:uid="{F11353B9-9C39-4CD4-B749-6C50ACE45B91}" uniqueName="77" name="021 Aport IMSS" queryTableFieldId="77"/>
    <tableColumn id="78" xr3:uid="{34D34B41-6FFC-4EA3-A666-43331E725875}" uniqueName="78" name="009 Prestamo Vivienda" queryTableFieldId="78"/>
    <tableColumn id="79" xr3:uid="{7093A13D-F9F3-4BFA-9BF2-108F301ACC60}" uniqueName="79" name="DEDUCCIONES" queryTableFieldId="79"/>
    <tableColumn id="80" xr3:uid="{7692339C-C58F-41C5-B999-2E46F16266CE}" uniqueName="80" name="02 Dias Incapacidad" queryTableFieldId="80"/>
    <tableColumn id="81" xr3:uid="{27EEA6E4-7A20-416C-A4BF-77A412E03EFC}" uniqueName="81" name="INCAPACIDADES" queryTableFieldId="81"/>
    <tableColumn id="82" xr3:uid="{6DBCCEB6-1F9B-48FD-ADBF-534F1580DA9E}" uniqueName="82" name="NETO" queryTableFieldId="82"/>
    <tableColumn id="83" xr3:uid="{875FEE6C-E8E6-42D5-ADAC-321126F74D09}" uniqueName="83" name="NETO2" queryTableFieldId="83"/>
    <tableColumn id="84" xr3:uid="{565AEB3C-5FC7-47FA-8A18-529F84DAF208}" uniqueName="84" name="Validacion_RFC" queryTableFieldId="8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0000000}" name="Tabla9" displayName="Tabla9" ref="B7:E64" totalsRowShown="0" headerRowDxfId="57">
  <tableColumns count="4">
    <tableColumn id="1" xr3:uid="{00000000-0010-0000-0000-000001000000}" name="fecha" dataDxfId="56"/>
    <tableColumn id="2" xr3:uid="{00000000-0010-0000-0000-000002000000}" name="mes" dataDxfId="55">
      <calculatedColumnFormula>MID(fabi!#REF!,4,2)</calculatedColumnFormula>
    </tableColumn>
    <tableColumn id="3" xr3:uid="{00000000-0010-0000-0000-000003000000}" name="concepto" dataDxfId="54"/>
    <tableColumn id="4" xr3:uid="{00000000-0010-0000-0000-000004000000}" name="valor" dataDxfId="53">
      <calculatedColumnFormula>+fabi!#REF!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Tabla10" displayName="Tabla10" ref="G7:J31" totalsRowShown="0" headerRowDxfId="52">
  <tableColumns count="4">
    <tableColumn id="1" xr3:uid="{00000000-0010-0000-0100-000001000000}" name="fecha" dataDxfId="51"/>
    <tableColumn id="2" xr3:uid="{00000000-0010-0000-0100-000002000000}" name="mes" dataDxfId="50"/>
    <tableColumn id="3" xr3:uid="{00000000-0010-0000-0100-000003000000}" name="concepto" dataDxfId="49"/>
    <tableColumn id="4" xr3:uid="{00000000-0010-0000-0100-000004000000}" name="valor" dataDxfId="4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0B010-3240-47FB-A573-E6F6BA9CE2A6}">
  <sheetPr codeName="Hoja1"/>
  <dimension ref="A1:T19"/>
  <sheetViews>
    <sheetView workbookViewId="0">
      <selection activeCell="B20" sqref="B20"/>
    </sheetView>
  </sheetViews>
  <sheetFormatPr baseColWidth="10" defaultRowHeight="14.4"/>
  <cols>
    <col min="1" max="1" width="38.5546875" bestFit="1" customWidth="1"/>
    <col min="2" max="2" width="18.5546875" bestFit="1" customWidth="1"/>
    <col min="3" max="3" width="9.5546875" bestFit="1" customWidth="1"/>
    <col min="4" max="4" width="14" bestFit="1" customWidth="1"/>
    <col min="5" max="5" width="29.44140625" bestFit="1" customWidth="1"/>
    <col min="6" max="6" width="14.88671875" bestFit="1" customWidth="1"/>
    <col min="7" max="7" width="18.77734375" bestFit="1" customWidth="1"/>
    <col min="8" max="8" width="19.6640625" bestFit="1" customWidth="1"/>
    <col min="9" max="9" width="7.33203125" bestFit="1" customWidth="1"/>
    <col min="10" max="10" width="7.21875" bestFit="1" customWidth="1"/>
    <col min="11" max="11" width="15.21875" bestFit="1" customWidth="1"/>
    <col min="12" max="12" width="18" bestFit="1" customWidth="1"/>
    <col min="13" max="13" width="10.33203125" bestFit="1" customWidth="1"/>
    <col min="14" max="14" width="7.44140625" bestFit="1" customWidth="1"/>
    <col min="15" max="15" width="13.33203125" bestFit="1" customWidth="1"/>
    <col min="16" max="16" width="6.77734375" bestFit="1" customWidth="1"/>
    <col min="17" max="17" width="14.33203125" bestFit="1" customWidth="1"/>
    <col min="18" max="18" width="13.88671875" bestFit="1" customWidth="1"/>
    <col min="19" max="19" width="13.77734375" bestFit="1" customWidth="1"/>
    <col min="20" max="20" width="16.109375" bestFit="1" customWidth="1"/>
  </cols>
  <sheetData>
    <row r="1" spans="1:20">
      <c r="A1" t="s">
        <v>46</v>
      </c>
      <c r="B1" t="s">
        <v>476</v>
      </c>
      <c r="C1" t="s">
        <v>477</v>
      </c>
      <c r="D1" t="s">
        <v>478</v>
      </c>
      <c r="E1" t="s">
        <v>479</v>
      </c>
      <c r="F1" t="s">
        <v>480</v>
      </c>
      <c r="G1" t="s">
        <v>481</v>
      </c>
      <c r="H1" t="s">
        <v>482</v>
      </c>
      <c r="I1" t="s">
        <v>33</v>
      </c>
      <c r="J1" t="s">
        <v>34</v>
      </c>
      <c r="K1" t="s">
        <v>483</v>
      </c>
      <c r="L1" t="s">
        <v>484</v>
      </c>
      <c r="M1" t="s">
        <v>31</v>
      </c>
      <c r="N1" t="s">
        <v>485</v>
      </c>
      <c r="O1" t="s">
        <v>486</v>
      </c>
      <c r="P1" t="s">
        <v>438</v>
      </c>
      <c r="Q1" t="s">
        <v>437</v>
      </c>
      <c r="R1" t="s">
        <v>433</v>
      </c>
      <c r="S1" t="s">
        <v>487</v>
      </c>
      <c r="T1" t="s">
        <v>488</v>
      </c>
    </row>
    <row r="2" spans="1:20">
      <c r="A2" t="s">
        <v>489</v>
      </c>
      <c r="B2" t="s">
        <v>490</v>
      </c>
      <c r="C2" t="s">
        <v>105</v>
      </c>
      <c r="D2" t="s">
        <v>491</v>
      </c>
      <c r="E2" t="s">
        <v>492</v>
      </c>
      <c r="F2" t="s">
        <v>493</v>
      </c>
      <c r="G2" t="s">
        <v>494</v>
      </c>
      <c r="H2" t="s">
        <v>495</v>
      </c>
      <c r="I2" t="s">
        <v>496</v>
      </c>
      <c r="J2" t="s">
        <v>497</v>
      </c>
      <c r="K2" t="s">
        <v>498</v>
      </c>
      <c r="L2" t="s">
        <v>499</v>
      </c>
      <c r="M2" t="s">
        <v>500</v>
      </c>
      <c r="N2">
        <v>3269.8</v>
      </c>
      <c r="O2" t="s">
        <v>501</v>
      </c>
      <c r="P2">
        <v>7</v>
      </c>
      <c r="Q2">
        <v>5412.2</v>
      </c>
      <c r="R2">
        <v>2142.52</v>
      </c>
      <c r="S2">
        <v>0.12</v>
      </c>
      <c r="T2" t="s">
        <v>502</v>
      </c>
    </row>
    <row r="3" spans="1:20">
      <c r="A3" t="s">
        <v>519</v>
      </c>
      <c r="B3" t="s">
        <v>520</v>
      </c>
      <c r="C3" t="s">
        <v>105</v>
      </c>
      <c r="D3" t="s">
        <v>491</v>
      </c>
      <c r="E3" t="s">
        <v>492</v>
      </c>
      <c r="F3" t="s">
        <v>493</v>
      </c>
      <c r="G3" t="s">
        <v>494</v>
      </c>
      <c r="H3" t="s">
        <v>495</v>
      </c>
      <c r="I3" t="s">
        <v>496</v>
      </c>
      <c r="J3" t="s">
        <v>130</v>
      </c>
      <c r="K3" t="s">
        <v>498</v>
      </c>
      <c r="L3" t="s">
        <v>499</v>
      </c>
      <c r="M3" t="s">
        <v>500</v>
      </c>
      <c r="N3">
        <v>3282</v>
      </c>
      <c r="O3" t="s">
        <v>521</v>
      </c>
      <c r="P3">
        <v>4</v>
      </c>
      <c r="Q3">
        <v>5412.2</v>
      </c>
      <c r="R3">
        <v>2130.1999999999998</v>
      </c>
      <c r="S3">
        <v>0</v>
      </c>
      <c r="T3" t="s">
        <v>502</v>
      </c>
    </row>
    <row r="4" spans="1:20">
      <c r="A4" t="s">
        <v>522</v>
      </c>
      <c r="B4" t="s">
        <v>523</v>
      </c>
      <c r="C4" t="s">
        <v>105</v>
      </c>
      <c r="D4" t="s">
        <v>491</v>
      </c>
      <c r="E4" t="s">
        <v>492</v>
      </c>
      <c r="F4" t="s">
        <v>493</v>
      </c>
      <c r="G4" t="s">
        <v>494</v>
      </c>
      <c r="H4" t="s">
        <v>495</v>
      </c>
      <c r="I4" t="s">
        <v>496</v>
      </c>
      <c r="J4" t="s">
        <v>524</v>
      </c>
      <c r="K4" t="s">
        <v>498</v>
      </c>
      <c r="L4" t="s">
        <v>499</v>
      </c>
      <c r="M4" t="s">
        <v>500</v>
      </c>
      <c r="N4">
        <v>3282</v>
      </c>
      <c r="O4" t="s">
        <v>525</v>
      </c>
      <c r="P4">
        <v>4</v>
      </c>
      <c r="Q4">
        <v>5412.2</v>
      </c>
      <c r="R4">
        <v>2130.1999999999998</v>
      </c>
      <c r="S4">
        <v>0</v>
      </c>
      <c r="T4" t="s">
        <v>502</v>
      </c>
    </row>
    <row r="5" spans="1:20">
      <c r="A5" t="s">
        <v>526</v>
      </c>
      <c r="B5" t="s">
        <v>527</v>
      </c>
      <c r="C5" t="s">
        <v>105</v>
      </c>
      <c r="D5" t="s">
        <v>491</v>
      </c>
      <c r="E5" t="s">
        <v>492</v>
      </c>
      <c r="F5" t="s">
        <v>493</v>
      </c>
      <c r="G5" t="s">
        <v>494</v>
      </c>
      <c r="H5" t="s">
        <v>495</v>
      </c>
      <c r="I5" t="s">
        <v>496</v>
      </c>
      <c r="J5" t="s">
        <v>132</v>
      </c>
      <c r="K5" t="s">
        <v>498</v>
      </c>
      <c r="L5" t="s">
        <v>499</v>
      </c>
      <c r="M5" t="s">
        <v>500</v>
      </c>
      <c r="N5">
        <v>3259.6</v>
      </c>
      <c r="O5" t="s">
        <v>528</v>
      </c>
      <c r="P5">
        <v>5</v>
      </c>
      <c r="Q5">
        <v>5412.2</v>
      </c>
      <c r="R5">
        <v>2152.64</v>
      </c>
      <c r="S5">
        <v>0.04</v>
      </c>
      <c r="T5" t="s">
        <v>502</v>
      </c>
    </row>
    <row r="6" spans="1:20">
      <c r="A6" t="s">
        <v>529</v>
      </c>
      <c r="B6" t="s">
        <v>530</v>
      </c>
      <c r="C6" t="s">
        <v>105</v>
      </c>
      <c r="D6" t="s">
        <v>491</v>
      </c>
      <c r="E6" t="s">
        <v>492</v>
      </c>
      <c r="F6" t="s">
        <v>493</v>
      </c>
      <c r="G6" t="s">
        <v>494</v>
      </c>
      <c r="H6" t="s">
        <v>495</v>
      </c>
      <c r="I6" t="s">
        <v>496</v>
      </c>
      <c r="J6" t="s">
        <v>531</v>
      </c>
      <c r="K6" t="s">
        <v>498</v>
      </c>
      <c r="L6" t="s">
        <v>499</v>
      </c>
      <c r="M6" t="s">
        <v>500</v>
      </c>
      <c r="N6">
        <v>3257.4</v>
      </c>
      <c r="O6" t="s">
        <v>532</v>
      </c>
      <c r="P6">
        <v>4</v>
      </c>
      <c r="Q6">
        <v>5412.2</v>
      </c>
      <c r="R6">
        <v>2154.8000000000002</v>
      </c>
      <c r="S6">
        <v>0</v>
      </c>
      <c r="T6" t="s">
        <v>502</v>
      </c>
    </row>
    <row r="7" spans="1:20">
      <c r="A7" t="s">
        <v>533</v>
      </c>
      <c r="B7" t="s">
        <v>534</v>
      </c>
      <c r="C7" t="s">
        <v>105</v>
      </c>
      <c r="D7" t="s">
        <v>491</v>
      </c>
      <c r="E7" t="s">
        <v>492</v>
      </c>
      <c r="F7" t="s">
        <v>493</v>
      </c>
      <c r="G7" t="s">
        <v>494</v>
      </c>
      <c r="H7" t="s">
        <v>495</v>
      </c>
      <c r="I7" t="s">
        <v>496</v>
      </c>
      <c r="J7" t="s">
        <v>535</v>
      </c>
      <c r="K7" t="s">
        <v>498</v>
      </c>
      <c r="L7" t="s">
        <v>499</v>
      </c>
      <c r="M7" t="s">
        <v>500</v>
      </c>
      <c r="N7">
        <v>3194.4</v>
      </c>
      <c r="O7" t="s">
        <v>536</v>
      </c>
      <c r="P7">
        <v>3</v>
      </c>
      <c r="Q7">
        <v>5412.2</v>
      </c>
      <c r="R7">
        <v>2217.83</v>
      </c>
      <c r="S7">
        <v>0.03</v>
      </c>
      <c r="T7" t="s">
        <v>502</v>
      </c>
    </row>
    <row r="8" spans="1:20">
      <c r="A8" t="s">
        <v>537</v>
      </c>
      <c r="B8" t="s">
        <v>538</v>
      </c>
      <c r="C8" t="s">
        <v>105</v>
      </c>
      <c r="D8" t="s">
        <v>491</v>
      </c>
      <c r="E8" t="s">
        <v>492</v>
      </c>
      <c r="F8" t="s">
        <v>493</v>
      </c>
      <c r="G8" t="s">
        <v>494</v>
      </c>
      <c r="H8" t="s">
        <v>495</v>
      </c>
      <c r="I8" t="s">
        <v>496</v>
      </c>
      <c r="J8" t="s">
        <v>539</v>
      </c>
      <c r="K8" t="s">
        <v>498</v>
      </c>
      <c r="L8" t="s">
        <v>499</v>
      </c>
      <c r="M8" t="s">
        <v>500</v>
      </c>
      <c r="N8">
        <v>3282.2</v>
      </c>
      <c r="O8" t="s">
        <v>540</v>
      </c>
      <c r="P8">
        <v>4</v>
      </c>
      <c r="Q8">
        <v>5412.2</v>
      </c>
      <c r="R8">
        <v>2130.09</v>
      </c>
      <c r="S8">
        <v>0.09</v>
      </c>
      <c r="T8" t="s">
        <v>502</v>
      </c>
    </row>
    <row r="9" spans="1:20">
      <c r="A9" t="s">
        <v>541</v>
      </c>
      <c r="B9" t="s">
        <v>542</v>
      </c>
      <c r="C9" t="s">
        <v>105</v>
      </c>
      <c r="D9" t="s">
        <v>491</v>
      </c>
      <c r="E9" t="s">
        <v>492</v>
      </c>
      <c r="F9" t="s">
        <v>493</v>
      </c>
      <c r="G9" t="s">
        <v>494</v>
      </c>
      <c r="H9" t="s">
        <v>495</v>
      </c>
      <c r="I9" t="s">
        <v>496</v>
      </c>
      <c r="J9" t="s">
        <v>129</v>
      </c>
      <c r="K9" t="s">
        <v>498</v>
      </c>
      <c r="L9" t="s">
        <v>499</v>
      </c>
      <c r="M9" t="s">
        <v>500</v>
      </c>
      <c r="N9">
        <v>8312.4</v>
      </c>
      <c r="O9" t="s">
        <v>543</v>
      </c>
      <c r="P9">
        <v>3</v>
      </c>
      <c r="Q9">
        <v>11912.2</v>
      </c>
      <c r="R9">
        <v>3599.91</v>
      </c>
      <c r="S9">
        <v>0.11</v>
      </c>
      <c r="T9" t="s">
        <v>502</v>
      </c>
    </row>
    <row r="10" spans="1:20">
      <c r="A10" t="s">
        <v>544</v>
      </c>
      <c r="B10" t="s">
        <v>545</v>
      </c>
      <c r="C10" t="s">
        <v>105</v>
      </c>
      <c r="D10" t="s">
        <v>491</v>
      </c>
      <c r="E10" t="s">
        <v>492</v>
      </c>
      <c r="F10" t="s">
        <v>493</v>
      </c>
      <c r="G10" t="s">
        <v>494</v>
      </c>
      <c r="H10" t="s">
        <v>495</v>
      </c>
      <c r="I10" t="s">
        <v>496</v>
      </c>
      <c r="J10" t="s">
        <v>128</v>
      </c>
      <c r="K10" t="s">
        <v>498</v>
      </c>
      <c r="L10" t="s">
        <v>499</v>
      </c>
      <c r="M10" t="s">
        <v>500</v>
      </c>
      <c r="N10">
        <v>2776.8</v>
      </c>
      <c r="O10" t="s">
        <v>546</v>
      </c>
      <c r="P10">
        <v>3</v>
      </c>
      <c r="Q10">
        <v>4681.6000000000004</v>
      </c>
      <c r="R10">
        <v>1904.8</v>
      </c>
      <c r="S10">
        <v>0</v>
      </c>
      <c r="T10" t="s">
        <v>502</v>
      </c>
    </row>
    <row r="11" spans="1:20">
      <c r="A11" t="s">
        <v>547</v>
      </c>
      <c r="B11" t="s">
        <v>548</v>
      </c>
      <c r="C11" t="s">
        <v>105</v>
      </c>
      <c r="D11" t="s">
        <v>491</v>
      </c>
      <c r="E11" t="s">
        <v>492</v>
      </c>
      <c r="F11" t="s">
        <v>493</v>
      </c>
      <c r="G11" t="s">
        <v>494</v>
      </c>
      <c r="H11" t="s">
        <v>495</v>
      </c>
      <c r="I11" t="s">
        <v>496</v>
      </c>
      <c r="J11" t="s">
        <v>549</v>
      </c>
      <c r="K11" t="s">
        <v>498</v>
      </c>
      <c r="L11" t="s">
        <v>499</v>
      </c>
      <c r="M11" t="s">
        <v>500</v>
      </c>
      <c r="N11">
        <v>2565.8000000000002</v>
      </c>
      <c r="O11" t="s">
        <v>550</v>
      </c>
      <c r="P11">
        <v>6</v>
      </c>
      <c r="Q11">
        <v>4510.17</v>
      </c>
      <c r="R11">
        <v>1944.46</v>
      </c>
      <c r="S11">
        <v>0.09</v>
      </c>
      <c r="T11" t="s">
        <v>502</v>
      </c>
    </row>
    <row r="12" spans="1:20">
      <c r="A12" t="s">
        <v>551</v>
      </c>
      <c r="B12" t="s">
        <v>552</v>
      </c>
      <c r="C12" t="s">
        <v>105</v>
      </c>
      <c r="D12" t="s">
        <v>491</v>
      </c>
      <c r="E12" t="s">
        <v>492</v>
      </c>
      <c r="F12" t="s">
        <v>493</v>
      </c>
      <c r="G12" t="s">
        <v>494</v>
      </c>
      <c r="H12" t="s">
        <v>495</v>
      </c>
      <c r="I12" t="s">
        <v>496</v>
      </c>
      <c r="J12" t="s">
        <v>131</v>
      </c>
      <c r="K12" t="s">
        <v>498</v>
      </c>
      <c r="L12" t="s">
        <v>499</v>
      </c>
      <c r="M12" t="s">
        <v>500</v>
      </c>
      <c r="N12">
        <v>3259.6</v>
      </c>
      <c r="O12" t="s">
        <v>553</v>
      </c>
      <c r="P12">
        <v>5</v>
      </c>
      <c r="Q12">
        <v>5412.2</v>
      </c>
      <c r="R12">
        <v>2152.64</v>
      </c>
      <c r="S12">
        <v>0.04</v>
      </c>
      <c r="T12" t="s">
        <v>502</v>
      </c>
    </row>
    <row r="13" spans="1:20">
      <c r="A13" t="s">
        <v>503</v>
      </c>
      <c r="B13" t="s">
        <v>504</v>
      </c>
      <c r="C13" t="s">
        <v>105</v>
      </c>
      <c r="D13" t="s">
        <v>491</v>
      </c>
      <c r="E13" t="s">
        <v>492</v>
      </c>
      <c r="F13" t="s">
        <v>493</v>
      </c>
      <c r="G13" t="s">
        <v>494</v>
      </c>
      <c r="H13" t="s">
        <v>495</v>
      </c>
      <c r="I13" t="s">
        <v>496</v>
      </c>
      <c r="J13" t="s">
        <v>505</v>
      </c>
      <c r="K13" t="s">
        <v>498</v>
      </c>
      <c r="L13" t="s">
        <v>499</v>
      </c>
      <c r="M13" t="s">
        <v>500</v>
      </c>
      <c r="N13">
        <v>3259.4</v>
      </c>
      <c r="O13" t="s">
        <v>506</v>
      </c>
      <c r="P13">
        <v>6</v>
      </c>
      <c r="Q13">
        <v>5412.2</v>
      </c>
      <c r="R13">
        <v>2152.8000000000002</v>
      </c>
      <c r="S13">
        <v>0</v>
      </c>
      <c r="T13" t="s">
        <v>502</v>
      </c>
    </row>
    <row r="14" spans="1:20">
      <c r="A14" t="s">
        <v>554</v>
      </c>
      <c r="B14" t="s">
        <v>555</v>
      </c>
      <c r="C14" t="s">
        <v>105</v>
      </c>
      <c r="D14" t="s">
        <v>491</v>
      </c>
      <c r="E14" t="s">
        <v>492</v>
      </c>
      <c r="F14" t="s">
        <v>493</v>
      </c>
      <c r="G14" t="s">
        <v>494</v>
      </c>
      <c r="H14" t="s">
        <v>495</v>
      </c>
      <c r="I14" t="s">
        <v>496</v>
      </c>
      <c r="J14" t="s">
        <v>556</v>
      </c>
      <c r="K14" t="s">
        <v>498</v>
      </c>
      <c r="L14" t="s">
        <v>499</v>
      </c>
      <c r="M14" t="s">
        <v>500</v>
      </c>
      <c r="N14">
        <v>3282.2</v>
      </c>
      <c r="O14" t="s">
        <v>557</v>
      </c>
      <c r="P14">
        <v>4</v>
      </c>
      <c r="Q14">
        <v>5412.2</v>
      </c>
      <c r="R14">
        <v>2130.09</v>
      </c>
      <c r="S14">
        <v>0.09</v>
      </c>
      <c r="T14" t="s">
        <v>502</v>
      </c>
    </row>
    <row r="15" spans="1:20">
      <c r="A15" t="s">
        <v>558</v>
      </c>
      <c r="B15" t="s">
        <v>559</v>
      </c>
      <c r="C15" t="s">
        <v>105</v>
      </c>
      <c r="D15" t="s">
        <v>491</v>
      </c>
      <c r="E15" t="s">
        <v>492</v>
      </c>
      <c r="F15" t="s">
        <v>493</v>
      </c>
      <c r="G15" t="s">
        <v>494</v>
      </c>
      <c r="H15" t="s">
        <v>495</v>
      </c>
      <c r="I15" t="s">
        <v>496</v>
      </c>
      <c r="J15" t="s">
        <v>560</v>
      </c>
      <c r="K15" t="s">
        <v>498</v>
      </c>
      <c r="L15" t="s">
        <v>499</v>
      </c>
      <c r="M15" t="s">
        <v>500</v>
      </c>
      <c r="N15">
        <v>3259.6</v>
      </c>
      <c r="O15" t="s">
        <v>561</v>
      </c>
      <c r="P15">
        <v>6</v>
      </c>
      <c r="Q15">
        <v>5412.2</v>
      </c>
      <c r="R15">
        <v>2152.64</v>
      </c>
      <c r="S15">
        <v>0.04</v>
      </c>
      <c r="T15" t="s">
        <v>502</v>
      </c>
    </row>
    <row r="16" spans="1:20">
      <c r="A16" t="s">
        <v>507</v>
      </c>
      <c r="B16" t="s">
        <v>508</v>
      </c>
      <c r="C16" t="s">
        <v>105</v>
      </c>
      <c r="D16" t="s">
        <v>491</v>
      </c>
      <c r="E16" t="s">
        <v>492</v>
      </c>
      <c r="F16" t="s">
        <v>493</v>
      </c>
      <c r="G16" t="s">
        <v>494</v>
      </c>
      <c r="H16" t="s">
        <v>495</v>
      </c>
      <c r="I16" t="s">
        <v>496</v>
      </c>
      <c r="J16" t="s">
        <v>134</v>
      </c>
      <c r="K16" t="s">
        <v>498</v>
      </c>
      <c r="L16" t="s">
        <v>499</v>
      </c>
      <c r="M16" t="s">
        <v>500</v>
      </c>
      <c r="N16">
        <v>3294.8</v>
      </c>
      <c r="O16" t="s">
        <v>509</v>
      </c>
      <c r="P16">
        <v>7</v>
      </c>
      <c r="Q16">
        <v>5412.2</v>
      </c>
      <c r="R16">
        <v>2117.4899999999998</v>
      </c>
      <c r="S16">
        <v>0.09</v>
      </c>
      <c r="T16" t="s">
        <v>502</v>
      </c>
    </row>
    <row r="17" spans="1:20">
      <c r="A17" t="s">
        <v>510</v>
      </c>
      <c r="B17" t="s">
        <v>511</v>
      </c>
      <c r="C17" t="s">
        <v>105</v>
      </c>
      <c r="D17" t="s">
        <v>491</v>
      </c>
      <c r="E17" t="s">
        <v>492</v>
      </c>
      <c r="F17" t="s">
        <v>493</v>
      </c>
      <c r="G17" t="s">
        <v>494</v>
      </c>
      <c r="H17" t="s">
        <v>495</v>
      </c>
      <c r="I17" t="s">
        <v>496</v>
      </c>
      <c r="J17" t="s">
        <v>512</v>
      </c>
      <c r="K17" t="s">
        <v>498</v>
      </c>
      <c r="L17" t="s">
        <v>499</v>
      </c>
      <c r="M17" t="s">
        <v>500</v>
      </c>
      <c r="N17">
        <v>3294.6</v>
      </c>
      <c r="O17" t="s">
        <v>513</v>
      </c>
      <c r="P17">
        <v>7</v>
      </c>
      <c r="Q17">
        <v>5412.2</v>
      </c>
      <c r="R17">
        <v>2117.6</v>
      </c>
      <c r="S17">
        <v>0</v>
      </c>
      <c r="T17" t="s">
        <v>502</v>
      </c>
    </row>
    <row r="18" spans="1:20">
      <c r="A18" t="s">
        <v>562</v>
      </c>
      <c r="B18" t="s">
        <v>563</v>
      </c>
      <c r="C18" t="s">
        <v>105</v>
      </c>
      <c r="D18" t="s">
        <v>491</v>
      </c>
      <c r="E18" t="s">
        <v>492</v>
      </c>
      <c r="F18" t="s">
        <v>493</v>
      </c>
      <c r="G18" t="s">
        <v>494</v>
      </c>
      <c r="H18" t="s">
        <v>495</v>
      </c>
      <c r="I18" t="s">
        <v>496</v>
      </c>
      <c r="J18" t="s">
        <v>564</v>
      </c>
      <c r="K18" t="s">
        <v>498</v>
      </c>
      <c r="L18" t="s">
        <v>499</v>
      </c>
      <c r="M18" t="s">
        <v>500</v>
      </c>
      <c r="N18">
        <v>3259.6</v>
      </c>
      <c r="O18" t="s">
        <v>565</v>
      </c>
      <c r="P18">
        <v>5</v>
      </c>
      <c r="Q18">
        <v>5412.2</v>
      </c>
      <c r="R18">
        <v>2152.64</v>
      </c>
      <c r="S18">
        <v>0.04</v>
      </c>
      <c r="T18" t="s">
        <v>502</v>
      </c>
    </row>
    <row r="19" spans="1:20">
      <c r="A19" t="s">
        <v>514</v>
      </c>
      <c r="B19" t="s">
        <v>515</v>
      </c>
      <c r="C19" t="s">
        <v>105</v>
      </c>
      <c r="D19" t="s">
        <v>491</v>
      </c>
      <c r="E19" t="s">
        <v>492</v>
      </c>
      <c r="F19" t="s">
        <v>493</v>
      </c>
      <c r="G19" t="s">
        <v>494</v>
      </c>
      <c r="H19" t="s">
        <v>495</v>
      </c>
      <c r="I19" t="s">
        <v>496</v>
      </c>
      <c r="J19" t="s">
        <v>126</v>
      </c>
      <c r="K19" t="s">
        <v>498</v>
      </c>
      <c r="L19" t="s">
        <v>499</v>
      </c>
      <c r="M19" t="s">
        <v>500</v>
      </c>
      <c r="N19">
        <v>3294.6</v>
      </c>
      <c r="O19" t="s">
        <v>516</v>
      </c>
      <c r="P19">
        <v>7</v>
      </c>
      <c r="Q19">
        <v>5412.2</v>
      </c>
      <c r="R19">
        <v>2117.6</v>
      </c>
      <c r="S19">
        <v>0</v>
      </c>
      <c r="T19" t="s">
        <v>502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A1254-A5DF-4A42-B6D0-F8C9C1AD86F5}">
  <dimension ref="A1:CF19"/>
  <sheetViews>
    <sheetView workbookViewId="0"/>
  </sheetViews>
  <sheetFormatPr baseColWidth="10" defaultRowHeight="14.4"/>
  <cols>
    <col min="1" max="1" width="5.21875" bestFit="1" customWidth="1"/>
    <col min="2" max="2" width="38.5546875" bestFit="1" customWidth="1"/>
    <col min="3" max="4" width="18.5546875" bestFit="1" customWidth="1"/>
    <col min="5" max="5" width="9.5546875" bestFit="1" customWidth="1"/>
    <col min="6" max="6" width="14.33203125" bestFit="1" customWidth="1"/>
    <col min="7" max="7" width="29.44140625" bestFit="1" customWidth="1"/>
    <col min="8" max="8" width="15.44140625" bestFit="1" customWidth="1"/>
    <col min="9" max="9" width="16.44140625" bestFit="1" customWidth="1"/>
    <col min="10" max="10" width="9.21875" bestFit="1" customWidth="1"/>
    <col min="11" max="11" width="21.6640625" bestFit="1" customWidth="1"/>
    <col min="12" max="12" width="7.33203125" bestFit="1" customWidth="1"/>
    <col min="13" max="13" width="7.21875" bestFit="1" customWidth="1"/>
    <col min="14" max="14" width="17.44140625" bestFit="1" customWidth="1"/>
    <col min="15" max="15" width="17.21875" bestFit="1" customWidth="1"/>
    <col min="16" max="16" width="10.33203125" bestFit="1" customWidth="1"/>
    <col min="17" max="17" width="14" bestFit="1" customWidth="1"/>
    <col min="18" max="18" width="6.6640625" bestFit="1" customWidth="1"/>
    <col min="19" max="19" width="15.33203125" bestFit="1" customWidth="1"/>
    <col min="20" max="20" width="21.21875" bestFit="1" customWidth="1"/>
    <col min="21" max="21" width="20.5546875" bestFit="1" customWidth="1"/>
    <col min="22" max="22" width="17.5546875" bestFit="1" customWidth="1"/>
    <col min="23" max="23" width="19.88671875" bestFit="1" customWidth="1"/>
    <col min="24" max="24" width="20.77734375" bestFit="1" customWidth="1"/>
    <col min="25" max="25" width="13" bestFit="1" customWidth="1"/>
    <col min="26" max="26" width="13.5546875" bestFit="1" customWidth="1"/>
    <col min="27" max="27" width="14.21875" bestFit="1" customWidth="1"/>
    <col min="28" max="28" width="15.77734375" bestFit="1" customWidth="1"/>
    <col min="29" max="29" width="14.44140625" bestFit="1" customWidth="1"/>
    <col min="30" max="30" width="17.88671875" bestFit="1" customWidth="1"/>
    <col min="31" max="31" width="8.44140625" bestFit="1" customWidth="1"/>
    <col min="32" max="32" width="16.44140625" bestFit="1" customWidth="1"/>
    <col min="33" max="33" width="19.88671875" bestFit="1" customWidth="1"/>
    <col min="34" max="34" width="22.109375" bestFit="1" customWidth="1"/>
    <col min="35" max="35" width="19.5546875" bestFit="1" customWidth="1"/>
    <col min="36" max="36" width="26.88671875" bestFit="1" customWidth="1"/>
    <col min="37" max="37" width="25.5546875" bestFit="1" customWidth="1"/>
    <col min="38" max="38" width="24.44140625" bestFit="1" customWidth="1"/>
    <col min="39" max="39" width="23" bestFit="1" customWidth="1"/>
    <col min="40" max="40" width="17.6640625" bestFit="1" customWidth="1"/>
    <col min="41" max="41" width="16.33203125" bestFit="1" customWidth="1"/>
    <col min="42" max="42" width="24.77734375" bestFit="1" customWidth="1"/>
    <col min="43" max="43" width="23.44140625" bestFit="1" customWidth="1"/>
    <col min="44" max="44" width="18.77734375" bestFit="1" customWidth="1"/>
    <col min="45" max="45" width="17.33203125" bestFit="1" customWidth="1"/>
    <col min="46" max="46" width="28.109375" bestFit="1" customWidth="1"/>
    <col min="47" max="47" width="26.77734375" bestFit="1" customWidth="1"/>
    <col min="48" max="48" width="21.109375" bestFit="1" customWidth="1"/>
    <col min="49" max="49" width="19.77734375" bestFit="1" customWidth="1"/>
    <col min="50" max="50" width="23.44140625" bestFit="1" customWidth="1"/>
    <col min="51" max="51" width="22" bestFit="1" customWidth="1"/>
    <col min="52" max="52" width="26.109375" bestFit="1" customWidth="1"/>
    <col min="53" max="53" width="24.77734375" bestFit="1" customWidth="1"/>
    <col min="54" max="54" width="26.77734375" bestFit="1" customWidth="1"/>
    <col min="55" max="55" width="25.44140625" bestFit="1" customWidth="1"/>
    <col min="56" max="56" width="22.77734375" bestFit="1" customWidth="1"/>
    <col min="57" max="57" width="21.44140625" bestFit="1" customWidth="1"/>
    <col min="58" max="58" width="16" bestFit="1" customWidth="1"/>
    <col min="59" max="59" width="20.6640625" bestFit="1" customWidth="1"/>
    <col min="60" max="60" width="21.21875" bestFit="1" customWidth="1"/>
    <col min="61" max="61" width="17.33203125" bestFit="1" customWidth="1"/>
    <col min="62" max="62" width="21.88671875" bestFit="1" customWidth="1"/>
    <col min="63" max="63" width="21" bestFit="1" customWidth="1"/>
    <col min="64" max="64" width="15.88671875" bestFit="1" customWidth="1"/>
    <col min="65" max="65" width="10" bestFit="1" customWidth="1"/>
    <col min="66" max="66" width="15.77734375" bestFit="1" customWidth="1"/>
    <col min="67" max="67" width="15.33203125" bestFit="1" customWidth="1"/>
    <col min="68" max="68" width="10.33203125" bestFit="1" customWidth="1"/>
    <col min="69" max="69" width="16.109375" bestFit="1" customWidth="1"/>
    <col min="70" max="70" width="21.33203125" bestFit="1" customWidth="1"/>
    <col min="71" max="71" width="23.21875" bestFit="1" customWidth="1"/>
    <col min="72" max="72" width="14.88671875" bestFit="1" customWidth="1"/>
    <col min="73" max="73" width="11" bestFit="1" customWidth="1"/>
    <col min="74" max="74" width="18.5546875" bestFit="1" customWidth="1"/>
    <col min="75" max="75" width="19.6640625" bestFit="1" customWidth="1"/>
    <col min="76" max="76" width="12.5546875" bestFit="1" customWidth="1"/>
    <col min="77" max="77" width="16.21875" bestFit="1" customWidth="1"/>
    <col min="78" max="78" width="22.5546875" bestFit="1" customWidth="1"/>
    <col min="79" max="79" width="15.44140625" bestFit="1" customWidth="1"/>
    <col min="80" max="80" width="19.88671875" bestFit="1" customWidth="1"/>
    <col min="81" max="81" width="17.109375" bestFit="1" customWidth="1"/>
    <col min="82" max="82" width="7.88671875" bestFit="1" customWidth="1"/>
    <col min="83" max="83" width="8.88671875" bestFit="1" customWidth="1"/>
    <col min="84" max="84" width="16.109375" bestFit="1" customWidth="1"/>
  </cols>
  <sheetData>
    <row r="1" spans="1:84">
      <c r="A1" t="s">
        <v>45</v>
      </c>
      <c r="B1" t="s">
        <v>46</v>
      </c>
      <c r="C1" t="s">
        <v>566</v>
      </c>
      <c r="D1" t="s">
        <v>48</v>
      </c>
      <c r="E1" t="s">
        <v>477</v>
      </c>
      <c r="F1" t="s">
        <v>1</v>
      </c>
      <c r="G1" t="s">
        <v>567</v>
      </c>
      <c r="H1" t="s">
        <v>568</v>
      </c>
      <c r="I1" t="s">
        <v>52</v>
      </c>
      <c r="J1" t="s">
        <v>0</v>
      </c>
      <c r="K1" t="s">
        <v>9</v>
      </c>
      <c r="L1" t="s">
        <v>33</v>
      </c>
      <c r="M1" t="s">
        <v>34</v>
      </c>
      <c r="N1" t="s">
        <v>569</v>
      </c>
      <c r="O1" t="s">
        <v>570</v>
      </c>
      <c r="P1" t="s">
        <v>31</v>
      </c>
      <c r="Q1" t="s">
        <v>571</v>
      </c>
      <c r="R1" t="s">
        <v>364</v>
      </c>
      <c r="S1" t="s">
        <v>56</v>
      </c>
      <c r="T1" t="s">
        <v>57</v>
      </c>
      <c r="U1" t="s">
        <v>58</v>
      </c>
      <c r="V1" t="s">
        <v>572</v>
      </c>
      <c r="W1" t="s">
        <v>573</v>
      </c>
      <c r="X1" t="s">
        <v>574</v>
      </c>
      <c r="Y1" t="s">
        <v>575</v>
      </c>
      <c r="Z1" t="s">
        <v>576</v>
      </c>
      <c r="AA1" t="s">
        <v>577</v>
      </c>
      <c r="AB1" t="s">
        <v>578</v>
      </c>
      <c r="AC1" t="s">
        <v>579</v>
      </c>
      <c r="AD1" t="s">
        <v>580</v>
      </c>
      <c r="AE1" t="s">
        <v>581</v>
      </c>
      <c r="AF1" t="s">
        <v>582</v>
      </c>
      <c r="AG1" t="s">
        <v>583</v>
      </c>
      <c r="AH1" t="s">
        <v>584</v>
      </c>
      <c r="AI1" t="s">
        <v>585</v>
      </c>
      <c r="AJ1" t="s">
        <v>586</v>
      </c>
      <c r="AK1" t="s">
        <v>587</v>
      </c>
      <c r="AL1" t="s">
        <v>588</v>
      </c>
      <c r="AM1" t="s">
        <v>589</v>
      </c>
      <c r="AN1" t="s">
        <v>590</v>
      </c>
      <c r="AO1" t="s">
        <v>591</v>
      </c>
      <c r="AP1" t="s">
        <v>592</v>
      </c>
      <c r="AQ1" t="s">
        <v>593</v>
      </c>
      <c r="AR1" t="s">
        <v>594</v>
      </c>
      <c r="AS1" t="s">
        <v>595</v>
      </c>
      <c r="AT1" t="s">
        <v>596</v>
      </c>
      <c r="AU1" t="s">
        <v>597</v>
      </c>
      <c r="AV1" t="s">
        <v>598</v>
      </c>
      <c r="AW1" t="s">
        <v>599</v>
      </c>
      <c r="AX1" t="s">
        <v>600</v>
      </c>
      <c r="AY1" t="s">
        <v>601</v>
      </c>
      <c r="AZ1" t="s">
        <v>602</v>
      </c>
      <c r="BA1" t="s">
        <v>603</v>
      </c>
      <c r="BB1" t="s">
        <v>604</v>
      </c>
      <c r="BC1" t="s">
        <v>605</v>
      </c>
      <c r="BD1" t="s">
        <v>606</v>
      </c>
      <c r="BE1" t="s">
        <v>607</v>
      </c>
      <c r="BF1" t="s">
        <v>391</v>
      </c>
      <c r="BG1" t="s">
        <v>608</v>
      </c>
      <c r="BH1" t="s">
        <v>609</v>
      </c>
      <c r="BI1" t="s">
        <v>610</v>
      </c>
      <c r="BJ1" t="s">
        <v>611</v>
      </c>
      <c r="BK1" t="s">
        <v>612</v>
      </c>
      <c r="BL1" t="s">
        <v>613</v>
      </c>
      <c r="BM1" t="s">
        <v>614</v>
      </c>
      <c r="BN1" t="s">
        <v>615</v>
      </c>
      <c r="BO1" t="s">
        <v>90</v>
      </c>
      <c r="BP1" t="s">
        <v>616</v>
      </c>
      <c r="BQ1" t="s">
        <v>617</v>
      </c>
      <c r="BR1" t="s">
        <v>618</v>
      </c>
      <c r="BS1" t="s">
        <v>619</v>
      </c>
      <c r="BT1" t="s">
        <v>620</v>
      </c>
      <c r="BU1" t="s">
        <v>621</v>
      </c>
      <c r="BV1" t="s">
        <v>622</v>
      </c>
      <c r="BW1" t="s">
        <v>623</v>
      </c>
      <c r="BX1" t="s">
        <v>624</v>
      </c>
      <c r="BY1" t="s">
        <v>625</v>
      </c>
      <c r="BZ1" t="s">
        <v>626</v>
      </c>
      <c r="CA1" t="s">
        <v>99</v>
      </c>
      <c r="CB1" t="s">
        <v>627</v>
      </c>
      <c r="CC1" t="s">
        <v>101</v>
      </c>
      <c r="CD1" t="s">
        <v>102</v>
      </c>
      <c r="CE1" t="s">
        <v>628</v>
      </c>
      <c r="CF1" t="s">
        <v>488</v>
      </c>
    </row>
    <row r="2" spans="1:84">
      <c r="B2" t="s">
        <v>489</v>
      </c>
      <c r="C2" t="s">
        <v>490</v>
      </c>
      <c r="D2" t="s">
        <v>629</v>
      </c>
      <c r="E2" t="s">
        <v>105</v>
      </c>
      <c r="F2" t="s">
        <v>493</v>
      </c>
      <c r="G2" t="s">
        <v>492</v>
      </c>
      <c r="H2" t="s">
        <v>630</v>
      </c>
      <c r="I2" t="s">
        <v>631</v>
      </c>
      <c r="J2" t="s">
        <v>106</v>
      </c>
      <c r="K2" t="s">
        <v>495</v>
      </c>
      <c r="L2" t="s">
        <v>496</v>
      </c>
      <c r="M2" t="s">
        <v>497</v>
      </c>
      <c r="N2" t="s">
        <v>499</v>
      </c>
      <c r="O2" t="s">
        <v>498</v>
      </c>
      <c r="P2" t="s">
        <v>500</v>
      </c>
      <c r="Q2" t="s">
        <v>632</v>
      </c>
      <c r="R2">
        <v>7</v>
      </c>
      <c r="S2" t="s">
        <v>501</v>
      </c>
      <c r="T2">
        <v>2142.52</v>
      </c>
      <c r="U2">
        <v>0.12</v>
      </c>
      <c r="V2" t="s">
        <v>633</v>
      </c>
      <c r="W2" t="s">
        <v>634</v>
      </c>
      <c r="X2" t="s">
        <v>635</v>
      </c>
      <c r="Y2" t="s">
        <v>636</v>
      </c>
      <c r="Z2" t="s">
        <v>637</v>
      </c>
      <c r="AA2" t="s">
        <v>638</v>
      </c>
      <c r="AB2" t="s">
        <v>639</v>
      </c>
      <c r="AC2" t="s">
        <v>116</v>
      </c>
      <c r="AD2" t="s">
        <v>638</v>
      </c>
      <c r="AG2">
        <v>769.63</v>
      </c>
      <c r="AH2">
        <v>730.6</v>
      </c>
      <c r="AI2">
        <v>0</v>
      </c>
      <c r="AJ2">
        <v>149</v>
      </c>
      <c r="AK2">
        <v>0</v>
      </c>
      <c r="AL2">
        <v>149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5114.2000000000007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5412.2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N2">
        <v>0</v>
      </c>
      <c r="BO2">
        <v>0.12</v>
      </c>
      <c r="BP2">
        <v>721.23</v>
      </c>
      <c r="BQ2">
        <v>786.66</v>
      </c>
      <c r="BR2">
        <v>0</v>
      </c>
      <c r="BS2">
        <v>0</v>
      </c>
      <c r="BT2">
        <v>488.55</v>
      </c>
      <c r="BU2">
        <v>146.08000000000001</v>
      </c>
      <c r="BV2">
        <v>0</v>
      </c>
      <c r="BW2">
        <v>0</v>
      </c>
      <c r="BX2">
        <v>0</v>
      </c>
      <c r="BY2">
        <v>0</v>
      </c>
      <c r="BZ2">
        <v>786.66</v>
      </c>
      <c r="CA2">
        <v>2142.52</v>
      </c>
      <c r="CB2">
        <v>0</v>
      </c>
      <c r="CC2">
        <v>0</v>
      </c>
      <c r="CD2">
        <v>3269.8</v>
      </c>
      <c r="CE2">
        <v>3269.8</v>
      </c>
      <c r="CF2" t="s">
        <v>502</v>
      </c>
    </row>
    <row r="3" spans="1:84">
      <c r="B3" t="s">
        <v>519</v>
      </c>
      <c r="C3" t="s">
        <v>520</v>
      </c>
      <c r="D3" t="s">
        <v>640</v>
      </c>
      <c r="E3" t="s">
        <v>105</v>
      </c>
      <c r="F3" t="s">
        <v>493</v>
      </c>
      <c r="G3" t="s">
        <v>492</v>
      </c>
      <c r="H3" t="s">
        <v>630</v>
      </c>
      <c r="I3" t="s">
        <v>631</v>
      </c>
      <c r="J3" t="s">
        <v>106</v>
      </c>
      <c r="K3" t="s">
        <v>495</v>
      </c>
      <c r="L3" t="s">
        <v>496</v>
      </c>
      <c r="M3" t="s">
        <v>130</v>
      </c>
      <c r="N3" t="s">
        <v>499</v>
      </c>
      <c r="O3" t="s">
        <v>498</v>
      </c>
      <c r="P3" t="s">
        <v>500</v>
      </c>
      <c r="Q3" t="s">
        <v>632</v>
      </c>
      <c r="R3">
        <v>4</v>
      </c>
      <c r="S3" t="s">
        <v>521</v>
      </c>
      <c r="T3">
        <v>2130.1999999999998</v>
      </c>
      <c r="U3">
        <v>0</v>
      </c>
      <c r="V3" t="s">
        <v>633</v>
      </c>
      <c r="W3" t="s">
        <v>634</v>
      </c>
      <c r="X3" t="s">
        <v>635</v>
      </c>
      <c r="Y3" t="s">
        <v>641</v>
      </c>
      <c r="Z3" t="s">
        <v>637</v>
      </c>
      <c r="AA3" t="s">
        <v>638</v>
      </c>
      <c r="AB3" t="s">
        <v>639</v>
      </c>
      <c r="AC3" t="s">
        <v>116</v>
      </c>
      <c r="AD3" t="s">
        <v>638</v>
      </c>
      <c r="AG3">
        <v>769.63</v>
      </c>
      <c r="AH3">
        <v>730.6</v>
      </c>
      <c r="AI3">
        <v>0</v>
      </c>
      <c r="AJ3">
        <v>149</v>
      </c>
      <c r="AK3">
        <v>0</v>
      </c>
      <c r="AL3">
        <v>149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5114.2000000000007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5412.2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721.23</v>
      </c>
      <c r="BQ3">
        <v>780.66</v>
      </c>
      <c r="BR3">
        <v>0.11</v>
      </c>
      <c r="BS3">
        <v>0</v>
      </c>
      <c r="BT3">
        <v>488.55</v>
      </c>
      <c r="BU3">
        <v>139.65</v>
      </c>
      <c r="BV3">
        <v>0</v>
      </c>
      <c r="BW3">
        <v>0</v>
      </c>
      <c r="BX3">
        <v>0</v>
      </c>
      <c r="BY3">
        <v>0</v>
      </c>
      <c r="BZ3">
        <v>780.66</v>
      </c>
      <c r="CA3">
        <v>2130.1999999999998</v>
      </c>
      <c r="CB3">
        <v>0</v>
      </c>
      <c r="CC3">
        <v>0</v>
      </c>
      <c r="CD3">
        <v>3282</v>
      </c>
      <c r="CE3">
        <v>3282</v>
      </c>
      <c r="CF3" t="s">
        <v>502</v>
      </c>
    </row>
    <row r="4" spans="1:84">
      <c r="B4" t="s">
        <v>522</v>
      </c>
      <c r="C4" t="s">
        <v>523</v>
      </c>
      <c r="D4" t="s">
        <v>642</v>
      </c>
      <c r="E4" t="s">
        <v>105</v>
      </c>
      <c r="F4" t="s">
        <v>493</v>
      </c>
      <c r="G4" t="s">
        <v>492</v>
      </c>
      <c r="H4" t="s">
        <v>630</v>
      </c>
      <c r="I4" t="s">
        <v>631</v>
      </c>
      <c r="J4" t="s">
        <v>106</v>
      </c>
      <c r="K4" t="s">
        <v>495</v>
      </c>
      <c r="L4" t="s">
        <v>496</v>
      </c>
      <c r="M4" t="s">
        <v>524</v>
      </c>
      <c r="N4" t="s">
        <v>499</v>
      </c>
      <c r="O4" t="s">
        <v>498</v>
      </c>
      <c r="P4" t="s">
        <v>500</v>
      </c>
      <c r="Q4" t="s">
        <v>632</v>
      </c>
      <c r="R4">
        <v>4</v>
      </c>
      <c r="S4" t="s">
        <v>525</v>
      </c>
      <c r="T4">
        <v>2130.1999999999998</v>
      </c>
      <c r="U4">
        <v>0</v>
      </c>
      <c r="V4" t="s">
        <v>633</v>
      </c>
      <c r="W4" t="s">
        <v>634</v>
      </c>
      <c r="X4" t="s">
        <v>635</v>
      </c>
      <c r="Y4" t="s">
        <v>643</v>
      </c>
      <c r="Z4" t="s">
        <v>637</v>
      </c>
      <c r="AA4" t="s">
        <v>638</v>
      </c>
      <c r="AB4" t="s">
        <v>639</v>
      </c>
      <c r="AC4" t="s">
        <v>116</v>
      </c>
      <c r="AD4" t="s">
        <v>638</v>
      </c>
      <c r="AG4">
        <v>769.63</v>
      </c>
      <c r="AH4">
        <v>730.6</v>
      </c>
      <c r="AI4">
        <v>0</v>
      </c>
      <c r="AJ4">
        <v>149</v>
      </c>
      <c r="AK4">
        <v>0</v>
      </c>
      <c r="AL4">
        <v>149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5114.2000000000007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5412.2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N4">
        <v>0</v>
      </c>
      <c r="BO4">
        <v>0</v>
      </c>
      <c r="BP4">
        <v>721.23</v>
      </c>
      <c r="BQ4">
        <v>780.66</v>
      </c>
      <c r="BR4">
        <v>0.11</v>
      </c>
      <c r="BS4">
        <v>0</v>
      </c>
      <c r="BT4">
        <v>488.55</v>
      </c>
      <c r="BU4">
        <v>139.65</v>
      </c>
      <c r="BV4">
        <v>0</v>
      </c>
      <c r="BW4">
        <v>0</v>
      </c>
      <c r="BX4">
        <v>0</v>
      </c>
      <c r="BY4">
        <v>0</v>
      </c>
      <c r="BZ4">
        <v>780.66</v>
      </c>
      <c r="CA4">
        <v>2130.1999999999998</v>
      </c>
      <c r="CB4">
        <v>0</v>
      </c>
      <c r="CC4">
        <v>0</v>
      </c>
      <c r="CD4">
        <v>3282</v>
      </c>
      <c r="CE4">
        <v>3282</v>
      </c>
      <c r="CF4" t="s">
        <v>502</v>
      </c>
    </row>
    <row r="5" spans="1:84">
      <c r="B5" t="s">
        <v>526</v>
      </c>
      <c r="C5" t="s">
        <v>527</v>
      </c>
      <c r="D5" t="s">
        <v>644</v>
      </c>
      <c r="E5" t="s">
        <v>105</v>
      </c>
      <c r="F5" t="s">
        <v>493</v>
      </c>
      <c r="G5" t="s">
        <v>492</v>
      </c>
      <c r="H5" t="s">
        <v>630</v>
      </c>
      <c r="I5" t="s">
        <v>631</v>
      </c>
      <c r="J5" t="s">
        <v>106</v>
      </c>
      <c r="K5" t="s">
        <v>495</v>
      </c>
      <c r="L5" t="s">
        <v>496</v>
      </c>
      <c r="M5" t="s">
        <v>132</v>
      </c>
      <c r="N5" t="s">
        <v>499</v>
      </c>
      <c r="O5" t="s">
        <v>498</v>
      </c>
      <c r="P5" t="s">
        <v>500</v>
      </c>
      <c r="Q5" t="s">
        <v>632</v>
      </c>
      <c r="R5">
        <v>5</v>
      </c>
      <c r="S5" t="s">
        <v>528</v>
      </c>
      <c r="T5">
        <v>2152.64</v>
      </c>
      <c r="U5">
        <v>0.04</v>
      </c>
      <c r="V5" t="s">
        <v>633</v>
      </c>
      <c r="W5" t="s">
        <v>634</v>
      </c>
      <c r="X5" t="s">
        <v>635</v>
      </c>
      <c r="Y5" t="s">
        <v>645</v>
      </c>
      <c r="Z5" t="s">
        <v>637</v>
      </c>
      <c r="AA5" t="s">
        <v>638</v>
      </c>
      <c r="AB5" t="s">
        <v>639</v>
      </c>
      <c r="AC5" t="s">
        <v>116</v>
      </c>
      <c r="AD5" t="s">
        <v>638</v>
      </c>
      <c r="AG5">
        <v>885.7</v>
      </c>
      <c r="AH5">
        <v>730.6</v>
      </c>
      <c r="AI5">
        <v>0</v>
      </c>
      <c r="AJ5">
        <v>149</v>
      </c>
      <c r="AK5">
        <v>0</v>
      </c>
      <c r="AL5">
        <v>149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5114.2000000000007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5412.2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N5">
        <v>0</v>
      </c>
      <c r="BO5">
        <v>0.04</v>
      </c>
      <c r="BP5">
        <v>721.23</v>
      </c>
      <c r="BQ5">
        <v>780.66</v>
      </c>
      <c r="BR5">
        <v>0</v>
      </c>
      <c r="BS5">
        <v>0</v>
      </c>
      <c r="BT5">
        <v>488.55</v>
      </c>
      <c r="BU5">
        <v>162.19999999999999</v>
      </c>
      <c r="BV5">
        <v>0</v>
      </c>
      <c r="BW5">
        <v>0</v>
      </c>
      <c r="BX5">
        <v>0</v>
      </c>
      <c r="BY5">
        <v>0</v>
      </c>
      <c r="BZ5">
        <v>780.66</v>
      </c>
      <c r="CA5">
        <v>2152.64</v>
      </c>
      <c r="CB5">
        <v>0</v>
      </c>
      <c r="CC5">
        <v>0</v>
      </c>
      <c r="CD5">
        <v>3259.6</v>
      </c>
      <c r="CE5">
        <v>3259.6</v>
      </c>
      <c r="CF5" t="s">
        <v>502</v>
      </c>
    </row>
    <row r="6" spans="1:84">
      <c r="B6" t="s">
        <v>529</v>
      </c>
      <c r="C6" t="s">
        <v>530</v>
      </c>
      <c r="D6" t="s">
        <v>646</v>
      </c>
      <c r="E6" t="s">
        <v>105</v>
      </c>
      <c r="F6" t="s">
        <v>493</v>
      </c>
      <c r="G6" t="s">
        <v>492</v>
      </c>
      <c r="H6" t="s">
        <v>630</v>
      </c>
      <c r="I6" t="s">
        <v>631</v>
      </c>
      <c r="J6" t="s">
        <v>106</v>
      </c>
      <c r="K6" t="s">
        <v>495</v>
      </c>
      <c r="L6" t="s">
        <v>496</v>
      </c>
      <c r="M6" t="s">
        <v>531</v>
      </c>
      <c r="N6" t="s">
        <v>499</v>
      </c>
      <c r="O6" t="s">
        <v>498</v>
      </c>
      <c r="P6" t="s">
        <v>500</v>
      </c>
      <c r="Q6" t="s">
        <v>632</v>
      </c>
      <c r="R6">
        <v>4</v>
      </c>
      <c r="S6" t="s">
        <v>532</v>
      </c>
      <c r="T6">
        <v>2154.8000000000002</v>
      </c>
      <c r="U6">
        <v>0</v>
      </c>
      <c r="V6" t="s">
        <v>633</v>
      </c>
      <c r="W6" t="s">
        <v>634</v>
      </c>
      <c r="X6" t="s">
        <v>635</v>
      </c>
      <c r="Y6" t="s">
        <v>647</v>
      </c>
      <c r="Z6" t="s">
        <v>637</v>
      </c>
      <c r="AA6" t="s">
        <v>638</v>
      </c>
      <c r="AB6" t="s">
        <v>639</v>
      </c>
      <c r="AC6" t="s">
        <v>116</v>
      </c>
      <c r="AD6" t="s">
        <v>638</v>
      </c>
      <c r="AG6">
        <v>885.7</v>
      </c>
      <c r="AH6">
        <v>730.6</v>
      </c>
      <c r="AI6">
        <v>0</v>
      </c>
      <c r="AJ6">
        <v>149</v>
      </c>
      <c r="AK6">
        <v>0</v>
      </c>
      <c r="AL6">
        <v>149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5114.2000000000007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5412.2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N6">
        <v>0</v>
      </c>
      <c r="BO6">
        <v>0</v>
      </c>
      <c r="BP6">
        <v>721.23</v>
      </c>
      <c r="BQ6">
        <v>795.66</v>
      </c>
      <c r="BR6">
        <v>0.04</v>
      </c>
      <c r="BS6">
        <v>0</v>
      </c>
      <c r="BT6">
        <v>488.55</v>
      </c>
      <c r="BU6">
        <v>149.32</v>
      </c>
      <c r="BV6">
        <v>0</v>
      </c>
      <c r="BW6">
        <v>0</v>
      </c>
      <c r="BX6">
        <v>0</v>
      </c>
      <c r="BY6">
        <v>0</v>
      </c>
      <c r="BZ6">
        <v>795.66</v>
      </c>
      <c r="CA6">
        <v>2154.8000000000002</v>
      </c>
      <c r="CB6">
        <v>0</v>
      </c>
      <c r="CC6">
        <v>0</v>
      </c>
      <c r="CD6">
        <v>3257.4</v>
      </c>
      <c r="CE6">
        <v>3257.4</v>
      </c>
      <c r="CF6" t="s">
        <v>502</v>
      </c>
    </row>
    <row r="7" spans="1:84">
      <c r="B7" t="s">
        <v>533</v>
      </c>
      <c r="C7" t="s">
        <v>534</v>
      </c>
      <c r="D7" t="s">
        <v>648</v>
      </c>
      <c r="E7" t="s">
        <v>105</v>
      </c>
      <c r="F7" t="s">
        <v>493</v>
      </c>
      <c r="G7" t="s">
        <v>492</v>
      </c>
      <c r="H7" t="s">
        <v>630</v>
      </c>
      <c r="I7" t="s">
        <v>631</v>
      </c>
      <c r="J7" t="s">
        <v>106</v>
      </c>
      <c r="K7" t="s">
        <v>495</v>
      </c>
      <c r="L7" t="s">
        <v>496</v>
      </c>
      <c r="M7" t="s">
        <v>535</v>
      </c>
      <c r="N7" t="s">
        <v>499</v>
      </c>
      <c r="O7" t="s">
        <v>498</v>
      </c>
      <c r="P7" t="s">
        <v>500</v>
      </c>
      <c r="Q7" t="s">
        <v>632</v>
      </c>
      <c r="R7">
        <v>3</v>
      </c>
      <c r="S7" t="s">
        <v>536</v>
      </c>
      <c r="T7">
        <v>2217.83</v>
      </c>
      <c r="U7">
        <v>0.03</v>
      </c>
      <c r="V7" t="s">
        <v>633</v>
      </c>
      <c r="W7" t="s">
        <v>634</v>
      </c>
      <c r="X7" t="s">
        <v>635</v>
      </c>
      <c r="Y7" t="s">
        <v>649</v>
      </c>
      <c r="Z7" t="s">
        <v>637</v>
      </c>
      <c r="AA7" t="s">
        <v>638</v>
      </c>
      <c r="AB7" t="s">
        <v>639</v>
      </c>
      <c r="AC7" t="s">
        <v>116</v>
      </c>
      <c r="AD7" t="s">
        <v>638</v>
      </c>
      <c r="AG7">
        <v>769.63</v>
      </c>
      <c r="AH7">
        <v>730.6</v>
      </c>
      <c r="AI7">
        <v>0</v>
      </c>
      <c r="AJ7">
        <v>149</v>
      </c>
      <c r="AK7">
        <v>0</v>
      </c>
      <c r="AL7">
        <v>149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5114.2000000000007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5412.2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N7">
        <v>0</v>
      </c>
      <c r="BO7">
        <v>0.03</v>
      </c>
      <c r="BP7">
        <v>721.23</v>
      </c>
      <c r="BQ7">
        <v>780.66</v>
      </c>
      <c r="BR7">
        <v>0</v>
      </c>
      <c r="BS7">
        <v>0</v>
      </c>
      <c r="BT7">
        <v>488.55</v>
      </c>
      <c r="BU7">
        <v>139.65</v>
      </c>
      <c r="BV7">
        <v>0</v>
      </c>
      <c r="BW7">
        <v>0</v>
      </c>
      <c r="BX7">
        <v>0</v>
      </c>
      <c r="BY7">
        <v>0</v>
      </c>
      <c r="BZ7">
        <v>780.66</v>
      </c>
      <c r="CA7">
        <v>2217.83</v>
      </c>
      <c r="CB7">
        <v>0</v>
      </c>
      <c r="CC7">
        <v>0</v>
      </c>
      <c r="CD7">
        <v>3194.4</v>
      </c>
      <c r="CE7">
        <v>3194.4</v>
      </c>
      <c r="CF7" t="s">
        <v>502</v>
      </c>
    </row>
    <row r="8" spans="1:84">
      <c r="B8" t="s">
        <v>537</v>
      </c>
      <c r="C8" t="s">
        <v>538</v>
      </c>
      <c r="D8" t="s">
        <v>650</v>
      </c>
      <c r="E8" t="s">
        <v>105</v>
      </c>
      <c r="F8" t="s">
        <v>493</v>
      </c>
      <c r="G8" t="s">
        <v>492</v>
      </c>
      <c r="H8" t="s">
        <v>630</v>
      </c>
      <c r="I8" t="s">
        <v>631</v>
      </c>
      <c r="J8" t="s">
        <v>106</v>
      </c>
      <c r="K8" t="s">
        <v>495</v>
      </c>
      <c r="L8" t="s">
        <v>496</v>
      </c>
      <c r="M8" t="s">
        <v>539</v>
      </c>
      <c r="N8" t="s">
        <v>499</v>
      </c>
      <c r="O8" t="s">
        <v>498</v>
      </c>
      <c r="P8" t="s">
        <v>500</v>
      </c>
      <c r="Q8" t="s">
        <v>632</v>
      </c>
      <c r="R8">
        <v>4</v>
      </c>
      <c r="S8" t="s">
        <v>540</v>
      </c>
      <c r="T8">
        <v>2130.09</v>
      </c>
      <c r="U8">
        <v>0.09</v>
      </c>
      <c r="V8" t="s">
        <v>633</v>
      </c>
      <c r="W8" t="s">
        <v>634</v>
      </c>
      <c r="X8" t="s">
        <v>635</v>
      </c>
      <c r="Y8" t="s">
        <v>651</v>
      </c>
      <c r="Z8" t="s">
        <v>637</v>
      </c>
      <c r="AA8" t="s">
        <v>638</v>
      </c>
      <c r="AB8" t="s">
        <v>639</v>
      </c>
      <c r="AC8" t="s">
        <v>116</v>
      </c>
      <c r="AD8" t="s">
        <v>638</v>
      </c>
      <c r="AG8">
        <v>769.63</v>
      </c>
      <c r="AH8">
        <v>730.6</v>
      </c>
      <c r="AI8">
        <v>0</v>
      </c>
      <c r="AJ8">
        <v>149</v>
      </c>
      <c r="AK8">
        <v>0</v>
      </c>
      <c r="AL8">
        <v>149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5114.2000000000007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5412.2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N8">
        <v>0</v>
      </c>
      <c r="BO8">
        <v>0.09</v>
      </c>
      <c r="BP8">
        <v>721.23</v>
      </c>
      <c r="BQ8">
        <v>780.66</v>
      </c>
      <c r="BR8">
        <v>0</v>
      </c>
      <c r="BS8">
        <v>0</v>
      </c>
      <c r="BT8">
        <v>488.55</v>
      </c>
      <c r="BU8">
        <v>139.65</v>
      </c>
      <c r="BV8">
        <v>0</v>
      </c>
      <c r="BW8">
        <v>0</v>
      </c>
      <c r="BX8">
        <v>0</v>
      </c>
      <c r="BY8">
        <v>0</v>
      </c>
      <c r="BZ8">
        <v>780.66</v>
      </c>
      <c r="CA8">
        <v>2130.09</v>
      </c>
      <c r="CB8">
        <v>0</v>
      </c>
      <c r="CC8">
        <v>0</v>
      </c>
      <c r="CD8">
        <v>3282.2</v>
      </c>
      <c r="CE8">
        <v>3282.2</v>
      </c>
      <c r="CF8" t="s">
        <v>502</v>
      </c>
    </row>
    <row r="9" spans="1:84">
      <c r="B9" t="s">
        <v>541</v>
      </c>
      <c r="C9" t="s">
        <v>542</v>
      </c>
      <c r="D9" t="s">
        <v>652</v>
      </c>
      <c r="E9" t="s">
        <v>105</v>
      </c>
      <c r="F9" t="s">
        <v>493</v>
      </c>
      <c r="G9" t="s">
        <v>492</v>
      </c>
      <c r="H9" t="s">
        <v>630</v>
      </c>
      <c r="I9" t="s">
        <v>631</v>
      </c>
      <c r="J9" t="s">
        <v>106</v>
      </c>
      <c r="K9" t="s">
        <v>495</v>
      </c>
      <c r="L9" t="s">
        <v>496</v>
      </c>
      <c r="M9" t="s">
        <v>129</v>
      </c>
      <c r="N9" t="s">
        <v>499</v>
      </c>
      <c r="O9" t="s">
        <v>498</v>
      </c>
      <c r="P9" t="s">
        <v>500</v>
      </c>
      <c r="Q9" t="s">
        <v>632</v>
      </c>
      <c r="R9">
        <v>3</v>
      </c>
      <c r="S9" t="s">
        <v>543</v>
      </c>
      <c r="T9">
        <v>3599.91</v>
      </c>
      <c r="U9">
        <v>0.11</v>
      </c>
      <c r="V9" t="s">
        <v>633</v>
      </c>
      <c r="W9" t="s">
        <v>634</v>
      </c>
      <c r="X9" t="s">
        <v>635</v>
      </c>
      <c r="Y9" t="s">
        <v>653</v>
      </c>
      <c r="Z9" t="s">
        <v>637</v>
      </c>
      <c r="AA9" t="s">
        <v>638</v>
      </c>
      <c r="AB9" t="s">
        <v>639</v>
      </c>
      <c r="AC9" t="s">
        <v>116</v>
      </c>
      <c r="AD9" t="s">
        <v>638</v>
      </c>
      <c r="AG9">
        <v>769.63</v>
      </c>
      <c r="AH9">
        <v>730.6</v>
      </c>
      <c r="AI9">
        <v>0</v>
      </c>
      <c r="AJ9">
        <v>149</v>
      </c>
      <c r="AK9">
        <v>0</v>
      </c>
      <c r="AL9">
        <v>149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5114.2000000000007</v>
      </c>
      <c r="AW9">
        <v>0</v>
      </c>
      <c r="AX9">
        <v>0</v>
      </c>
      <c r="AY9">
        <v>0</v>
      </c>
      <c r="AZ9">
        <v>0</v>
      </c>
      <c r="BA9">
        <v>0</v>
      </c>
      <c r="BB9">
        <v>6500</v>
      </c>
      <c r="BC9">
        <v>0</v>
      </c>
      <c r="BD9">
        <v>0</v>
      </c>
      <c r="BE9">
        <v>0</v>
      </c>
      <c r="BF9">
        <v>11912.2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N9">
        <v>0</v>
      </c>
      <c r="BO9">
        <v>0.11</v>
      </c>
      <c r="BP9">
        <v>2191.0500000000002</v>
      </c>
      <c r="BQ9">
        <v>780.66</v>
      </c>
      <c r="BR9">
        <v>0</v>
      </c>
      <c r="BS9">
        <v>0</v>
      </c>
      <c r="BT9">
        <v>488.55</v>
      </c>
      <c r="BU9">
        <v>139.65</v>
      </c>
      <c r="BV9">
        <v>0</v>
      </c>
      <c r="BW9">
        <v>0</v>
      </c>
      <c r="BX9">
        <v>0</v>
      </c>
      <c r="BY9">
        <v>0</v>
      </c>
      <c r="BZ9">
        <v>780.66</v>
      </c>
      <c r="CA9">
        <v>3599.91</v>
      </c>
      <c r="CB9">
        <v>0</v>
      </c>
      <c r="CC9">
        <v>0</v>
      </c>
      <c r="CD9">
        <v>8312.4</v>
      </c>
      <c r="CE9">
        <v>8312.4</v>
      </c>
      <c r="CF9" t="s">
        <v>502</v>
      </c>
    </row>
    <row r="10" spans="1:84">
      <c r="B10" t="s">
        <v>544</v>
      </c>
      <c r="C10" t="s">
        <v>545</v>
      </c>
      <c r="D10" t="s">
        <v>654</v>
      </c>
      <c r="E10" t="s">
        <v>105</v>
      </c>
      <c r="F10" t="s">
        <v>493</v>
      </c>
      <c r="G10" t="s">
        <v>492</v>
      </c>
      <c r="H10" t="s">
        <v>630</v>
      </c>
      <c r="I10" t="s">
        <v>631</v>
      </c>
      <c r="J10" t="s">
        <v>106</v>
      </c>
      <c r="K10" t="s">
        <v>495</v>
      </c>
      <c r="L10" t="s">
        <v>496</v>
      </c>
      <c r="M10" t="s">
        <v>128</v>
      </c>
      <c r="N10" t="s">
        <v>499</v>
      </c>
      <c r="O10" t="s">
        <v>498</v>
      </c>
      <c r="P10" t="s">
        <v>500</v>
      </c>
      <c r="Q10" t="s">
        <v>632</v>
      </c>
      <c r="R10">
        <v>3</v>
      </c>
      <c r="S10" t="s">
        <v>546</v>
      </c>
      <c r="T10">
        <v>1904.8</v>
      </c>
      <c r="U10">
        <v>0</v>
      </c>
      <c r="V10" t="s">
        <v>633</v>
      </c>
      <c r="W10" t="s">
        <v>634</v>
      </c>
      <c r="X10" t="s">
        <v>635</v>
      </c>
      <c r="Y10" t="s">
        <v>655</v>
      </c>
      <c r="Z10" t="s">
        <v>637</v>
      </c>
      <c r="AA10" t="s">
        <v>638</v>
      </c>
      <c r="AB10" t="s">
        <v>639</v>
      </c>
      <c r="AC10" t="s">
        <v>116</v>
      </c>
      <c r="AD10" t="s">
        <v>638</v>
      </c>
      <c r="AG10">
        <v>769.63</v>
      </c>
      <c r="AH10">
        <v>730.6</v>
      </c>
      <c r="AI10">
        <v>0</v>
      </c>
      <c r="AJ10">
        <v>149</v>
      </c>
      <c r="AK10">
        <v>0</v>
      </c>
      <c r="AL10">
        <v>149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4383.6000000000004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4681.6000000000004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N10">
        <v>0</v>
      </c>
      <c r="BO10">
        <v>0</v>
      </c>
      <c r="BP10">
        <v>627.29</v>
      </c>
      <c r="BQ10">
        <v>669.13</v>
      </c>
      <c r="BR10">
        <v>0.13</v>
      </c>
      <c r="BS10">
        <v>0</v>
      </c>
      <c r="BT10">
        <v>488.55</v>
      </c>
      <c r="BU10">
        <v>119.69</v>
      </c>
      <c r="BV10">
        <v>0</v>
      </c>
      <c r="BW10">
        <v>0</v>
      </c>
      <c r="BX10">
        <v>0</v>
      </c>
      <c r="BY10">
        <v>0</v>
      </c>
      <c r="BZ10">
        <v>669.13</v>
      </c>
      <c r="CA10">
        <v>1904.8</v>
      </c>
      <c r="CB10">
        <v>0</v>
      </c>
      <c r="CC10">
        <v>0</v>
      </c>
      <c r="CD10">
        <v>2776.8</v>
      </c>
      <c r="CE10">
        <v>2776.8</v>
      </c>
      <c r="CF10" t="s">
        <v>502</v>
      </c>
    </row>
    <row r="11" spans="1:84">
      <c r="B11" t="s">
        <v>547</v>
      </c>
      <c r="C11" t="s">
        <v>548</v>
      </c>
      <c r="D11" t="s">
        <v>656</v>
      </c>
      <c r="E11" t="s">
        <v>105</v>
      </c>
      <c r="F11" t="s">
        <v>493</v>
      </c>
      <c r="G11" t="s">
        <v>492</v>
      </c>
      <c r="H11" t="s">
        <v>630</v>
      </c>
      <c r="I11" t="s">
        <v>631</v>
      </c>
      <c r="J11" t="s">
        <v>106</v>
      </c>
      <c r="K11" t="s">
        <v>495</v>
      </c>
      <c r="L11" t="s">
        <v>496</v>
      </c>
      <c r="M11" t="s">
        <v>549</v>
      </c>
      <c r="N11" t="s">
        <v>499</v>
      </c>
      <c r="O11" t="s">
        <v>498</v>
      </c>
      <c r="P11" t="s">
        <v>500</v>
      </c>
      <c r="Q11" t="s">
        <v>632</v>
      </c>
      <c r="R11">
        <v>6</v>
      </c>
      <c r="S11" t="s">
        <v>550</v>
      </c>
      <c r="T11">
        <v>1944.46</v>
      </c>
      <c r="U11">
        <v>0.09</v>
      </c>
      <c r="V11" t="s">
        <v>633</v>
      </c>
      <c r="W11" t="s">
        <v>634</v>
      </c>
      <c r="X11" t="s">
        <v>635</v>
      </c>
      <c r="Y11" t="s">
        <v>657</v>
      </c>
      <c r="Z11" t="s">
        <v>637</v>
      </c>
      <c r="AA11" t="s">
        <v>638</v>
      </c>
      <c r="AB11" t="s">
        <v>639</v>
      </c>
      <c r="AC11" t="s">
        <v>116</v>
      </c>
      <c r="AD11" t="s">
        <v>638</v>
      </c>
      <c r="AG11">
        <v>885.7</v>
      </c>
      <c r="AH11">
        <v>730.6</v>
      </c>
      <c r="AI11">
        <v>0</v>
      </c>
      <c r="AJ11">
        <v>124.17</v>
      </c>
      <c r="AK11">
        <v>0</v>
      </c>
      <c r="AL11">
        <v>124.17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4261.83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4510.17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N11">
        <v>0</v>
      </c>
      <c r="BO11">
        <v>0.09</v>
      </c>
      <c r="BP11">
        <v>528.55999999999995</v>
      </c>
      <c r="BQ11">
        <v>780.66</v>
      </c>
      <c r="BR11">
        <v>0</v>
      </c>
      <c r="BS11">
        <v>0</v>
      </c>
      <c r="BT11">
        <v>488.55</v>
      </c>
      <c r="BU11">
        <v>146.69</v>
      </c>
      <c r="BV11">
        <v>0</v>
      </c>
      <c r="BW11">
        <v>0</v>
      </c>
      <c r="BX11">
        <v>0</v>
      </c>
      <c r="BY11">
        <v>0</v>
      </c>
      <c r="BZ11">
        <v>780.66</v>
      </c>
      <c r="CA11">
        <v>1944.46</v>
      </c>
      <c r="CB11">
        <v>0</v>
      </c>
      <c r="CC11">
        <v>0</v>
      </c>
      <c r="CD11">
        <v>2565.8000000000002</v>
      </c>
      <c r="CE11">
        <v>2565.8000000000002</v>
      </c>
      <c r="CF11" t="s">
        <v>502</v>
      </c>
    </row>
    <row r="12" spans="1:84">
      <c r="B12" t="s">
        <v>551</v>
      </c>
      <c r="C12" t="s">
        <v>552</v>
      </c>
      <c r="D12" t="s">
        <v>658</v>
      </c>
      <c r="E12" t="s">
        <v>105</v>
      </c>
      <c r="F12" t="s">
        <v>493</v>
      </c>
      <c r="G12" t="s">
        <v>492</v>
      </c>
      <c r="H12" t="s">
        <v>630</v>
      </c>
      <c r="I12" t="s">
        <v>631</v>
      </c>
      <c r="J12" t="s">
        <v>106</v>
      </c>
      <c r="K12" t="s">
        <v>495</v>
      </c>
      <c r="L12" t="s">
        <v>496</v>
      </c>
      <c r="M12" t="s">
        <v>131</v>
      </c>
      <c r="N12" t="s">
        <v>499</v>
      </c>
      <c r="O12" t="s">
        <v>498</v>
      </c>
      <c r="P12" t="s">
        <v>500</v>
      </c>
      <c r="Q12" t="s">
        <v>632</v>
      </c>
      <c r="R12">
        <v>5</v>
      </c>
      <c r="S12" t="s">
        <v>553</v>
      </c>
      <c r="T12">
        <v>2152.64</v>
      </c>
      <c r="U12">
        <v>0.04</v>
      </c>
      <c r="V12" t="s">
        <v>633</v>
      </c>
      <c r="W12" t="s">
        <v>634</v>
      </c>
      <c r="X12" t="s">
        <v>635</v>
      </c>
      <c r="Y12" t="s">
        <v>659</v>
      </c>
      <c r="Z12" t="s">
        <v>637</v>
      </c>
      <c r="AA12" t="s">
        <v>638</v>
      </c>
      <c r="AB12" t="s">
        <v>639</v>
      </c>
      <c r="AC12" t="s">
        <v>116</v>
      </c>
      <c r="AD12" t="s">
        <v>638</v>
      </c>
      <c r="AG12">
        <v>885.7</v>
      </c>
      <c r="AH12">
        <v>730.6</v>
      </c>
      <c r="AI12">
        <v>0</v>
      </c>
      <c r="AJ12">
        <v>149</v>
      </c>
      <c r="AK12">
        <v>0</v>
      </c>
      <c r="AL12">
        <v>149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5114.2000000000007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5412.2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N12">
        <v>0</v>
      </c>
      <c r="BO12">
        <v>0.04</v>
      </c>
      <c r="BP12">
        <v>721.23</v>
      </c>
      <c r="BQ12">
        <v>780.66</v>
      </c>
      <c r="BR12">
        <v>0</v>
      </c>
      <c r="BS12">
        <v>0</v>
      </c>
      <c r="BT12">
        <v>488.55</v>
      </c>
      <c r="BU12">
        <v>162.19999999999999</v>
      </c>
      <c r="BV12">
        <v>0</v>
      </c>
      <c r="BW12">
        <v>0</v>
      </c>
      <c r="BX12">
        <v>0</v>
      </c>
      <c r="BY12">
        <v>0</v>
      </c>
      <c r="BZ12">
        <v>780.66</v>
      </c>
      <c r="CA12">
        <v>2152.64</v>
      </c>
      <c r="CB12">
        <v>0</v>
      </c>
      <c r="CC12">
        <v>0</v>
      </c>
      <c r="CD12">
        <v>3259.6</v>
      </c>
      <c r="CE12">
        <v>3259.6</v>
      </c>
      <c r="CF12" t="s">
        <v>502</v>
      </c>
    </row>
    <row r="13" spans="1:84">
      <c r="B13" t="s">
        <v>503</v>
      </c>
      <c r="C13" t="s">
        <v>504</v>
      </c>
      <c r="D13" t="s">
        <v>660</v>
      </c>
      <c r="E13" t="s">
        <v>105</v>
      </c>
      <c r="F13" t="s">
        <v>493</v>
      </c>
      <c r="G13" t="s">
        <v>492</v>
      </c>
      <c r="H13" t="s">
        <v>630</v>
      </c>
      <c r="I13" t="s">
        <v>631</v>
      </c>
      <c r="J13" t="s">
        <v>106</v>
      </c>
      <c r="K13" t="s">
        <v>495</v>
      </c>
      <c r="L13" t="s">
        <v>496</v>
      </c>
      <c r="M13" t="s">
        <v>505</v>
      </c>
      <c r="N13" t="s">
        <v>499</v>
      </c>
      <c r="O13" t="s">
        <v>498</v>
      </c>
      <c r="P13" t="s">
        <v>500</v>
      </c>
      <c r="Q13" t="s">
        <v>632</v>
      </c>
      <c r="R13">
        <v>6</v>
      </c>
      <c r="S13" t="s">
        <v>506</v>
      </c>
      <c r="T13">
        <v>2152.8000000000002</v>
      </c>
      <c r="U13">
        <v>0</v>
      </c>
      <c r="V13" t="s">
        <v>633</v>
      </c>
      <c r="W13" t="s">
        <v>634</v>
      </c>
      <c r="X13" t="s">
        <v>635</v>
      </c>
      <c r="Y13" t="s">
        <v>661</v>
      </c>
      <c r="Z13" t="s">
        <v>637</v>
      </c>
      <c r="AA13" t="s">
        <v>638</v>
      </c>
      <c r="AB13" t="s">
        <v>639</v>
      </c>
      <c r="AC13" t="s">
        <v>116</v>
      </c>
      <c r="AD13" t="s">
        <v>638</v>
      </c>
      <c r="AG13">
        <v>885.7</v>
      </c>
      <c r="AH13">
        <v>730.6</v>
      </c>
      <c r="AI13">
        <v>0</v>
      </c>
      <c r="AJ13">
        <v>149</v>
      </c>
      <c r="AK13">
        <v>0</v>
      </c>
      <c r="AL13">
        <v>149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5114.2000000000007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5412.2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N13">
        <v>0</v>
      </c>
      <c r="BO13">
        <v>0</v>
      </c>
      <c r="BP13">
        <v>721.23</v>
      </c>
      <c r="BQ13">
        <v>780.66</v>
      </c>
      <c r="BR13">
        <v>0.16</v>
      </c>
      <c r="BS13">
        <v>0</v>
      </c>
      <c r="BT13">
        <v>488.55</v>
      </c>
      <c r="BU13">
        <v>162.19999999999999</v>
      </c>
      <c r="BV13">
        <v>0</v>
      </c>
      <c r="BW13">
        <v>0</v>
      </c>
      <c r="BX13">
        <v>0</v>
      </c>
      <c r="BY13">
        <v>0</v>
      </c>
      <c r="BZ13">
        <v>780.66</v>
      </c>
      <c r="CA13">
        <v>2152.8000000000002</v>
      </c>
      <c r="CB13">
        <v>0</v>
      </c>
      <c r="CC13">
        <v>0</v>
      </c>
      <c r="CD13">
        <v>3259.4</v>
      </c>
      <c r="CE13">
        <v>3259.4</v>
      </c>
      <c r="CF13" t="s">
        <v>502</v>
      </c>
    </row>
    <row r="14" spans="1:84">
      <c r="B14" t="s">
        <v>554</v>
      </c>
      <c r="C14" t="s">
        <v>555</v>
      </c>
      <c r="D14" t="s">
        <v>662</v>
      </c>
      <c r="E14" t="s">
        <v>105</v>
      </c>
      <c r="F14" t="s">
        <v>493</v>
      </c>
      <c r="G14" t="s">
        <v>492</v>
      </c>
      <c r="H14" t="s">
        <v>630</v>
      </c>
      <c r="I14" t="s">
        <v>631</v>
      </c>
      <c r="J14" t="s">
        <v>106</v>
      </c>
      <c r="K14" t="s">
        <v>495</v>
      </c>
      <c r="L14" t="s">
        <v>496</v>
      </c>
      <c r="M14" t="s">
        <v>556</v>
      </c>
      <c r="N14" t="s">
        <v>499</v>
      </c>
      <c r="O14" t="s">
        <v>498</v>
      </c>
      <c r="P14" t="s">
        <v>500</v>
      </c>
      <c r="Q14" t="s">
        <v>632</v>
      </c>
      <c r="R14">
        <v>4</v>
      </c>
      <c r="S14" t="s">
        <v>557</v>
      </c>
      <c r="T14">
        <v>2130.09</v>
      </c>
      <c r="U14">
        <v>0.09</v>
      </c>
      <c r="V14" t="s">
        <v>633</v>
      </c>
      <c r="W14" t="s">
        <v>634</v>
      </c>
      <c r="X14" t="s">
        <v>635</v>
      </c>
      <c r="Y14" t="s">
        <v>663</v>
      </c>
      <c r="Z14" t="s">
        <v>637</v>
      </c>
      <c r="AA14" t="s">
        <v>638</v>
      </c>
      <c r="AB14" t="s">
        <v>639</v>
      </c>
      <c r="AC14" t="s">
        <v>116</v>
      </c>
      <c r="AD14" t="s">
        <v>638</v>
      </c>
      <c r="AG14">
        <v>769.63</v>
      </c>
      <c r="AH14">
        <v>730.6</v>
      </c>
      <c r="AI14">
        <v>0</v>
      </c>
      <c r="AJ14">
        <v>149</v>
      </c>
      <c r="AK14">
        <v>0</v>
      </c>
      <c r="AL14">
        <v>149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5114.2000000000007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5412.2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N14">
        <v>0</v>
      </c>
      <c r="BO14">
        <v>0.09</v>
      </c>
      <c r="BP14">
        <v>721.23</v>
      </c>
      <c r="BQ14">
        <v>780.66</v>
      </c>
      <c r="BR14">
        <v>0</v>
      </c>
      <c r="BS14">
        <v>0</v>
      </c>
      <c r="BT14">
        <v>488.55</v>
      </c>
      <c r="BU14">
        <v>139.65</v>
      </c>
      <c r="BV14">
        <v>0</v>
      </c>
      <c r="BW14">
        <v>0</v>
      </c>
      <c r="BX14">
        <v>0</v>
      </c>
      <c r="BY14">
        <v>0</v>
      </c>
      <c r="BZ14">
        <v>780.66</v>
      </c>
      <c r="CA14">
        <v>2130.09</v>
      </c>
      <c r="CB14">
        <v>0</v>
      </c>
      <c r="CC14">
        <v>0</v>
      </c>
      <c r="CD14">
        <v>3282.2</v>
      </c>
      <c r="CE14">
        <v>3282.2</v>
      </c>
      <c r="CF14" t="s">
        <v>502</v>
      </c>
    </row>
    <row r="15" spans="1:84">
      <c r="B15" t="s">
        <v>558</v>
      </c>
      <c r="C15" t="s">
        <v>559</v>
      </c>
      <c r="D15" t="s">
        <v>664</v>
      </c>
      <c r="E15" t="s">
        <v>105</v>
      </c>
      <c r="F15" t="s">
        <v>493</v>
      </c>
      <c r="G15" t="s">
        <v>492</v>
      </c>
      <c r="H15" t="s">
        <v>630</v>
      </c>
      <c r="I15" t="s">
        <v>631</v>
      </c>
      <c r="J15" t="s">
        <v>106</v>
      </c>
      <c r="K15" t="s">
        <v>495</v>
      </c>
      <c r="L15" t="s">
        <v>496</v>
      </c>
      <c r="M15" t="s">
        <v>560</v>
      </c>
      <c r="N15" t="s">
        <v>499</v>
      </c>
      <c r="O15" t="s">
        <v>498</v>
      </c>
      <c r="P15" t="s">
        <v>500</v>
      </c>
      <c r="Q15" t="s">
        <v>632</v>
      </c>
      <c r="R15">
        <v>6</v>
      </c>
      <c r="S15" t="s">
        <v>561</v>
      </c>
      <c r="T15">
        <v>2152.64</v>
      </c>
      <c r="U15">
        <v>0.04</v>
      </c>
      <c r="V15" t="s">
        <v>633</v>
      </c>
      <c r="W15" t="s">
        <v>634</v>
      </c>
      <c r="X15" t="s">
        <v>635</v>
      </c>
      <c r="Y15" t="s">
        <v>665</v>
      </c>
      <c r="Z15" t="s">
        <v>637</v>
      </c>
      <c r="AA15" t="s">
        <v>638</v>
      </c>
      <c r="AB15" t="s">
        <v>639</v>
      </c>
      <c r="AC15" t="s">
        <v>116</v>
      </c>
      <c r="AD15" t="s">
        <v>638</v>
      </c>
      <c r="AG15">
        <v>885.7</v>
      </c>
      <c r="AH15">
        <v>730.6</v>
      </c>
      <c r="AI15">
        <v>0</v>
      </c>
      <c r="AJ15">
        <v>149</v>
      </c>
      <c r="AK15">
        <v>0</v>
      </c>
      <c r="AL15">
        <v>149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5114.2000000000007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5412.2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N15">
        <v>0</v>
      </c>
      <c r="BO15">
        <v>0.04</v>
      </c>
      <c r="BP15">
        <v>721.23</v>
      </c>
      <c r="BQ15">
        <v>780.66</v>
      </c>
      <c r="BR15">
        <v>0</v>
      </c>
      <c r="BS15">
        <v>0</v>
      </c>
      <c r="BT15">
        <v>488.55</v>
      </c>
      <c r="BU15">
        <v>162.19999999999999</v>
      </c>
      <c r="BV15">
        <v>0</v>
      </c>
      <c r="BW15">
        <v>0</v>
      </c>
      <c r="BX15">
        <v>0</v>
      </c>
      <c r="BY15">
        <v>0</v>
      </c>
      <c r="BZ15">
        <v>780.66</v>
      </c>
      <c r="CA15">
        <v>2152.64</v>
      </c>
      <c r="CB15">
        <v>0</v>
      </c>
      <c r="CC15">
        <v>0</v>
      </c>
      <c r="CD15">
        <v>3259.6</v>
      </c>
      <c r="CE15">
        <v>3259.6</v>
      </c>
      <c r="CF15" t="s">
        <v>502</v>
      </c>
    </row>
    <row r="16" spans="1:84">
      <c r="B16" t="s">
        <v>507</v>
      </c>
      <c r="C16" t="s">
        <v>508</v>
      </c>
      <c r="D16" t="s">
        <v>666</v>
      </c>
      <c r="E16" t="s">
        <v>105</v>
      </c>
      <c r="F16" t="s">
        <v>493</v>
      </c>
      <c r="G16" t="s">
        <v>492</v>
      </c>
      <c r="H16" t="s">
        <v>630</v>
      </c>
      <c r="I16" t="s">
        <v>631</v>
      </c>
      <c r="J16" t="s">
        <v>106</v>
      </c>
      <c r="K16" t="s">
        <v>495</v>
      </c>
      <c r="L16" t="s">
        <v>496</v>
      </c>
      <c r="M16" t="s">
        <v>134</v>
      </c>
      <c r="N16" t="s">
        <v>499</v>
      </c>
      <c r="O16" t="s">
        <v>498</v>
      </c>
      <c r="P16" t="s">
        <v>500</v>
      </c>
      <c r="Q16" t="s">
        <v>632</v>
      </c>
      <c r="R16">
        <v>7</v>
      </c>
      <c r="S16" t="s">
        <v>509</v>
      </c>
      <c r="T16">
        <v>2117.4899999999998</v>
      </c>
      <c r="U16">
        <v>0.09</v>
      </c>
      <c r="V16" t="s">
        <v>633</v>
      </c>
      <c r="W16" t="s">
        <v>634</v>
      </c>
      <c r="X16" t="s">
        <v>635</v>
      </c>
      <c r="Y16" t="s">
        <v>667</v>
      </c>
      <c r="Z16" t="s">
        <v>637</v>
      </c>
      <c r="AA16" t="s">
        <v>638</v>
      </c>
      <c r="AB16" t="s">
        <v>639</v>
      </c>
      <c r="AC16" t="s">
        <v>116</v>
      </c>
      <c r="AD16" t="s">
        <v>638</v>
      </c>
      <c r="AG16">
        <v>769.63</v>
      </c>
      <c r="AH16">
        <v>730.6</v>
      </c>
      <c r="AI16">
        <v>0</v>
      </c>
      <c r="AJ16">
        <v>149</v>
      </c>
      <c r="AK16">
        <v>0</v>
      </c>
      <c r="AL16">
        <v>149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5114.2000000000007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5412.2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N16">
        <v>0</v>
      </c>
      <c r="BO16">
        <v>0.09</v>
      </c>
      <c r="BP16">
        <v>721.23</v>
      </c>
      <c r="BQ16">
        <v>768.06</v>
      </c>
      <c r="BR16">
        <v>0</v>
      </c>
      <c r="BS16">
        <v>0</v>
      </c>
      <c r="BT16">
        <v>488.55</v>
      </c>
      <c r="BU16">
        <v>139.65</v>
      </c>
      <c r="BV16">
        <v>0</v>
      </c>
      <c r="BW16">
        <v>0</v>
      </c>
      <c r="BX16">
        <v>0</v>
      </c>
      <c r="BY16">
        <v>0</v>
      </c>
      <c r="BZ16">
        <v>768.06</v>
      </c>
      <c r="CA16">
        <v>2117.4899999999998</v>
      </c>
      <c r="CB16">
        <v>0</v>
      </c>
      <c r="CC16">
        <v>0</v>
      </c>
      <c r="CD16">
        <v>3294.8</v>
      </c>
      <c r="CE16">
        <v>3294.8</v>
      </c>
      <c r="CF16" t="s">
        <v>502</v>
      </c>
    </row>
    <row r="17" spans="2:84">
      <c r="B17" t="s">
        <v>510</v>
      </c>
      <c r="C17" t="s">
        <v>511</v>
      </c>
      <c r="D17" t="s">
        <v>668</v>
      </c>
      <c r="E17" t="s">
        <v>105</v>
      </c>
      <c r="F17" t="s">
        <v>493</v>
      </c>
      <c r="G17" t="s">
        <v>492</v>
      </c>
      <c r="H17" t="s">
        <v>630</v>
      </c>
      <c r="I17" t="s">
        <v>631</v>
      </c>
      <c r="J17" t="s">
        <v>106</v>
      </c>
      <c r="K17" t="s">
        <v>495</v>
      </c>
      <c r="L17" t="s">
        <v>496</v>
      </c>
      <c r="M17" t="s">
        <v>512</v>
      </c>
      <c r="N17" t="s">
        <v>499</v>
      </c>
      <c r="O17" t="s">
        <v>498</v>
      </c>
      <c r="P17" t="s">
        <v>500</v>
      </c>
      <c r="Q17" t="s">
        <v>632</v>
      </c>
      <c r="R17">
        <v>7</v>
      </c>
      <c r="S17" t="s">
        <v>513</v>
      </c>
      <c r="T17">
        <v>2117.6</v>
      </c>
      <c r="U17">
        <v>0</v>
      </c>
      <c r="V17" t="s">
        <v>633</v>
      </c>
      <c r="W17" t="s">
        <v>634</v>
      </c>
      <c r="X17" t="s">
        <v>635</v>
      </c>
      <c r="Y17" t="s">
        <v>669</v>
      </c>
      <c r="Z17" t="s">
        <v>637</v>
      </c>
      <c r="AA17" t="s">
        <v>638</v>
      </c>
      <c r="AB17" t="s">
        <v>639</v>
      </c>
      <c r="AC17" t="s">
        <v>116</v>
      </c>
      <c r="AD17" t="s">
        <v>638</v>
      </c>
      <c r="AG17">
        <v>769.63</v>
      </c>
      <c r="AH17">
        <v>730.6</v>
      </c>
      <c r="AI17">
        <v>0</v>
      </c>
      <c r="AJ17">
        <v>149</v>
      </c>
      <c r="AK17">
        <v>0</v>
      </c>
      <c r="AL17">
        <v>149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5114.2000000000007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5412.2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N17">
        <v>0</v>
      </c>
      <c r="BO17">
        <v>0</v>
      </c>
      <c r="BP17">
        <v>721.23</v>
      </c>
      <c r="BQ17">
        <v>768.06</v>
      </c>
      <c r="BR17">
        <v>0.11</v>
      </c>
      <c r="BS17">
        <v>0</v>
      </c>
      <c r="BT17">
        <v>488.55</v>
      </c>
      <c r="BU17">
        <v>139.65</v>
      </c>
      <c r="BV17">
        <v>0</v>
      </c>
      <c r="BW17">
        <v>0</v>
      </c>
      <c r="BX17">
        <v>0</v>
      </c>
      <c r="BY17">
        <v>0</v>
      </c>
      <c r="BZ17">
        <v>768.06</v>
      </c>
      <c r="CA17">
        <v>2117.6</v>
      </c>
      <c r="CB17">
        <v>0</v>
      </c>
      <c r="CC17">
        <v>0</v>
      </c>
      <c r="CD17">
        <v>3294.6</v>
      </c>
      <c r="CE17">
        <v>3294.6</v>
      </c>
      <c r="CF17" t="s">
        <v>502</v>
      </c>
    </row>
    <row r="18" spans="2:84">
      <c r="B18" t="s">
        <v>562</v>
      </c>
      <c r="C18" t="s">
        <v>563</v>
      </c>
      <c r="D18" t="s">
        <v>670</v>
      </c>
      <c r="E18" t="s">
        <v>105</v>
      </c>
      <c r="F18" t="s">
        <v>493</v>
      </c>
      <c r="G18" t="s">
        <v>492</v>
      </c>
      <c r="H18" t="s">
        <v>630</v>
      </c>
      <c r="I18" t="s">
        <v>631</v>
      </c>
      <c r="J18" t="s">
        <v>106</v>
      </c>
      <c r="K18" t="s">
        <v>495</v>
      </c>
      <c r="L18" t="s">
        <v>496</v>
      </c>
      <c r="M18" t="s">
        <v>564</v>
      </c>
      <c r="N18" t="s">
        <v>499</v>
      </c>
      <c r="O18" t="s">
        <v>498</v>
      </c>
      <c r="P18" t="s">
        <v>500</v>
      </c>
      <c r="Q18" t="s">
        <v>632</v>
      </c>
      <c r="R18">
        <v>5</v>
      </c>
      <c r="S18" t="s">
        <v>565</v>
      </c>
      <c r="T18">
        <v>2152.64</v>
      </c>
      <c r="U18">
        <v>0.04</v>
      </c>
      <c r="V18" t="s">
        <v>633</v>
      </c>
      <c r="W18" t="s">
        <v>634</v>
      </c>
      <c r="X18" t="s">
        <v>635</v>
      </c>
      <c r="Y18" t="s">
        <v>671</v>
      </c>
      <c r="Z18" t="s">
        <v>637</v>
      </c>
      <c r="AA18" t="s">
        <v>638</v>
      </c>
      <c r="AB18" t="s">
        <v>639</v>
      </c>
      <c r="AC18" t="s">
        <v>116</v>
      </c>
      <c r="AD18" t="s">
        <v>638</v>
      </c>
      <c r="AG18">
        <v>885.7</v>
      </c>
      <c r="AH18">
        <v>730.6</v>
      </c>
      <c r="AI18">
        <v>0</v>
      </c>
      <c r="AJ18">
        <v>149</v>
      </c>
      <c r="AK18">
        <v>0</v>
      </c>
      <c r="AL18">
        <v>149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5114.2000000000007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5412.2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N18">
        <v>0</v>
      </c>
      <c r="BO18">
        <v>0.04</v>
      </c>
      <c r="BP18">
        <v>721.23</v>
      </c>
      <c r="BQ18">
        <v>780.66</v>
      </c>
      <c r="BR18">
        <v>0</v>
      </c>
      <c r="BS18">
        <v>0</v>
      </c>
      <c r="BT18">
        <v>488.55</v>
      </c>
      <c r="BU18">
        <v>162.19999999999999</v>
      </c>
      <c r="BV18">
        <v>0</v>
      </c>
      <c r="BW18">
        <v>0</v>
      </c>
      <c r="BX18">
        <v>0</v>
      </c>
      <c r="BY18">
        <v>0</v>
      </c>
      <c r="BZ18">
        <v>780.66</v>
      </c>
      <c r="CA18">
        <v>2152.64</v>
      </c>
      <c r="CB18">
        <v>0</v>
      </c>
      <c r="CC18">
        <v>0</v>
      </c>
      <c r="CD18">
        <v>3259.6</v>
      </c>
      <c r="CE18">
        <v>3259.6</v>
      </c>
      <c r="CF18" t="s">
        <v>502</v>
      </c>
    </row>
    <row r="19" spans="2:84">
      <c r="B19" t="s">
        <v>514</v>
      </c>
      <c r="C19" t="s">
        <v>515</v>
      </c>
      <c r="D19" t="s">
        <v>672</v>
      </c>
      <c r="E19" t="s">
        <v>105</v>
      </c>
      <c r="F19" t="s">
        <v>493</v>
      </c>
      <c r="G19" t="s">
        <v>492</v>
      </c>
      <c r="H19" t="s">
        <v>630</v>
      </c>
      <c r="I19" t="s">
        <v>631</v>
      </c>
      <c r="J19" t="s">
        <v>106</v>
      </c>
      <c r="K19" t="s">
        <v>495</v>
      </c>
      <c r="L19" t="s">
        <v>496</v>
      </c>
      <c r="M19" t="s">
        <v>126</v>
      </c>
      <c r="N19" t="s">
        <v>499</v>
      </c>
      <c r="O19" t="s">
        <v>498</v>
      </c>
      <c r="P19" t="s">
        <v>500</v>
      </c>
      <c r="Q19" t="s">
        <v>632</v>
      </c>
      <c r="R19">
        <v>7</v>
      </c>
      <c r="S19" t="s">
        <v>516</v>
      </c>
      <c r="T19">
        <v>2117.6</v>
      </c>
      <c r="U19">
        <v>0</v>
      </c>
      <c r="V19" t="s">
        <v>633</v>
      </c>
      <c r="W19" t="s">
        <v>634</v>
      </c>
      <c r="X19" t="s">
        <v>635</v>
      </c>
      <c r="Y19" t="s">
        <v>673</v>
      </c>
      <c r="Z19" t="s">
        <v>637</v>
      </c>
      <c r="AA19" t="s">
        <v>638</v>
      </c>
      <c r="AB19" t="s">
        <v>639</v>
      </c>
      <c r="AC19" t="s">
        <v>116</v>
      </c>
      <c r="AD19" t="s">
        <v>638</v>
      </c>
      <c r="AG19">
        <v>769.63</v>
      </c>
      <c r="AH19">
        <v>730.6</v>
      </c>
      <c r="AI19">
        <v>0</v>
      </c>
      <c r="AJ19">
        <v>149</v>
      </c>
      <c r="AK19">
        <v>0</v>
      </c>
      <c r="AL19">
        <v>149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5114.2000000000007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5412.2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N19">
        <v>0</v>
      </c>
      <c r="BO19">
        <v>0</v>
      </c>
      <c r="BP19">
        <v>721.23</v>
      </c>
      <c r="BQ19">
        <v>768.06</v>
      </c>
      <c r="BR19">
        <v>0.11</v>
      </c>
      <c r="BS19">
        <v>0</v>
      </c>
      <c r="BT19">
        <v>488.55</v>
      </c>
      <c r="BU19">
        <v>139.65</v>
      </c>
      <c r="BV19">
        <v>0</v>
      </c>
      <c r="BW19">
        <v>0</v>
      </c>
      <c r="BX19">
        <v>0</v>
      </c>
      <c r="BY19">
        <v>0</v>
      </c>
      <c r="BZ19">
        <v>768.06</v>
      </c>
      <c r="CA19">
        <v>2117.6</v>
      </c>
      <c r="CB19">
        <v>0</v>
      </c>
      <c r="CC19">
        <v>0</v>
      </c>
      <c r="CD19">
        <v>3294.6</v>
      </c>
      <c r="CE19">
        <v>3294.6</v>
      </c>
      <c r="CF19" t="s">
        <v>502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98788-EF41-4F0E-BA0D-3EB0A9228239}">
  <sheetPr codeName="Hoja2"/>
  <dimension ref="A1:N24"/>
  <sheetViews>
    <sheetView zoomScaleNormal="100" workbookViewId="0">
      <selection activeCell="C5" sqref="C5"/>
    </sheetView>
  </sheetViews>
  <sheetFormatPr baseColWidth="10" defaultColWidth="8.88671875" defaultRowHeight="14.4"/>
  <cols>
    <col min="1" max="1" width="71.33203125" bestFit="1" customWidth="1"/>
    <col min="2" max="2" width="19.5546875" bestFit="1" customWidth="1"/>
    <col min="3" max="3" width="23.33203125" bestFit="1" customWidth="1"/>
    <col min="4" max="5" width="21.5546875" bestFit="1" customWidth="1"/>
    <col min="6" max="6" width="15.77734375" bestFit="1" customWidth="1"/>
    <col min="8" max="8" width="5.33203125" bestFit="1" customWidth="1"/>
    <col min="10" max="10" width="11.77734375" bestFit="1" customWidth="1"/>
    <col min="11" max="11" width="8" bestFit="1" customWidth="1"/>
  </cols>
  <sheetData>
    <row r="1" spans="1:14">
      <c r="A1" s="1" t="s">
        <v>429</v>
      </c>
      <c r="N1" s="454" t="str" cm="1">
        <f t="array" ref="N1">_xlfn.UNIQUE(_xlfn._xlws.FILTER('Consulta1'!F2:F1013,'Consulta1'!F2:F1013&lt;&gt;""))</f>
        <v>NULJ770313CL7</v>
      </c>
    </row>
    <row r="2" spans="1:14">
      <c r="A2" s="2" t="s">
        <v>430</v>
      </c>
    </row>
    <row r="4" spans="1:14" ht="23.4">
      <c r="A4" s="3" t="s">
        <v>431</v>
      </c>
      <c r="C4" s="4" t="s">
        <v>493</v>
      </c>
    </row>
    <row r="5" spans="1:14" ht="23.4">
      <c r="A5" s="3" t="s">
        <v>184</v>
      </c>
      <c r="C5" s="4">
        <v>7</v>
      </c>
    </row>
    <row r="7" spans="1:14" ht="23.4">
      <c r="A7" s="5" t="s">
        <v>432</v>
      </c>
      <c r="B7" s="5" t="s">
        <v>433</v>
      </c>
      <c r="C7" s="5" t="s">
        <v>434</v>
      </c>
      <c r="D7" s="5" t="s">
        <v>435</v>
      </c>
      <c r="E7" s="5" t="s">
        <v>436</v>
      </c>
      <c r="J7" t="s">
        <v>437</v>
      </c>
      <c r="K7">
        <f>INDEX($B$12:$B$23,$C$5)</f>
        <v>21648.799999999999</v>
      </c>
    </row>
    <row r="8" spans="1:14" ht="23.4">
      <c r="A8" s="6">
        <f>INDEX($B$12:$B$23,$C$5)</f>
        <v>21648.799999999999</v>
      </c>
      <c r="B8" s="6">
        <f>INDEX($C$12:$C$23,$C$5)</f>
        <v>8495.2100000000009</v>
      </c>
      <c r="C8" s="6">
        <f>INDEX($D$12:$D$23,$C$5)</f>
        <v>13153.800000000001</v>
      </c>
      <c r="D8" s="7">
        <f>INDEX($E$12:$E$23,$C$5)</f>
        <v>4</v>
      </c>
      <c r="E8" s="7">
        <f>INDEX($F$12:$F$23,$C$5)</f>
        <v>0</v>
      </c>
      <c r="J8" t="s">
        <v>433</v>
      </c>
      <c r="K8">
        <f>INDEX($C$12:$C$23,$C$5)</f>
        <v>8495.2100000000009</v>
      </c>
    </row>
    <row r="11" spans="1:14" ht="23.4">
      <c r="A11" s="8" t="s">
        <v>438</v>
      </c>
      <c r="B11" s="8" t="s">
        <v>437</v>
      </c>
      <c r="C11" s="8" t="s">
        <v>433</v>
      </c>
      <c r="D11" s="8" t="s">
        <v>439</v>
      </c>
      <c r="E11" s="8" t="s">
        <v>435</v>
      </c>
      <c r="F11" s="8" t="s">
        <v>436</v>
      </c>
      <c r="H11" t="s">
        <v>440</v>
      </c>
    </row>
    <row r="12" spans="1:14">
      <c r="A12" s="9" t="s">
        <v>20</v>
      </c>
      <c r="B12" s="10" cm="1">
        <f t="array" ref="B12">IFERROR(SUMPRODUCT(('Consulta1'!$P$2:$P$1013=$H12)*(($C$4="")+('Consulta1'!$F$2:$F$1013=$C$4))*'Consulta1'!$Q$2:$Q$1013),0)</f>
        <v>0</v>
      </c>
      <c r="C12" s="10" cm="1">
        <f t="array" ref="C12">IFERROR(SUMPRODUCT(('Consulta1'!$P$2:$P$1013=$H12)*(($C$4="")+('Consulta1'!$F$2:$F$1013=$C$4))*'Consulta1'!$R$2:$R$1013),0)</f>
        <v>0</v>
      </c>
      <c r="D12" s="10" cm="1">
        <f t="array" ref="D12">IFERROR(SUMPRODUCT(('Consulta1'!$P$2:$P$1013=$H12)*(($C$4="")+('Consulta1'!$F$2:$F$1013=$C$4))*'Consulta1'!$N$2:$N$1013),0)</f>
        <v>0</v>
      </c>
      <c r="E12" s="11" cm="1">
        <f t="array" ref="E12">IFERROR(SUMPRODUCT(('Consulta1'!$P$2:$P$1013=$H12)*(($C$4="")+('Consulta1'!$F$2:$F$1013=$C$4))),0)</f>
        <v>0</v>
      </c>
      <c r="F12" s="11" cm="1">
        <f t="array" ref="F12">IFERROR(SUMPRODUCT(('Consulta1'!$P$2:$P$1013=$H12)*(($C$4="")+('Consulta1'!$F$2:$F$1013=$C$4))*('Consulta1'!$T$2:$T$1013&lt;&gt;"OK")),0)</f>
        <v>0</v>
      </c>
      <c r="H12">
        <v>1</v>
      </c>
    </row>
    <row r="13" spans="1:14">
      <c r="A13" s="9" t="s">
        <v>21</v>
      </c>
      <c r="B13" s="10" cm="1">
        <f t="array" ref="B13">IFERROR(SUMPRODUCT(('Consulta1'!$P$2:$P$1013=$H13)*(($C$4="")+('Consulta1'!$F$2:$F$1013=$C$4))*'Consulta1'!$Q$2:$Q$1013),0)</f>
        <v>0</v>
      </c>
      <c r="C13" s="10" cm="1">
        <f t="array" ref="C13">IFERROR(SUMPRODUCT(('Consulta1'!$P$2:$P$1013=$H13)*(($C$4="")+('Consulta1'!$F$2:$F$1013=$C$4))*'Consulta1'!$R$2:$R$1013),0)</f>
        <v>0</v>
      </c>
      <c r="D13" s="10" cm="1">
        <f t="array" ref="D13">IFERROR(SUMPRODUCT(('Consulta1'!$P$2:$P$1013=$H13)*(($C$4="")+('Consulta1'!$F$2:$F$1013=$C$4))*'Consulta1'!$N$2:$N$1013),0)</f>
        <v>0</v>
      </c>
      <c r="E13" s="11" cm="1">
        <f t="array" ref="E13">IFERROR(SUMPRODUCT(('Consulta1'!$P$2:$P$1013=$H13)*(($C$4="")+('Consulta1'!$F$2:$F$1013=$C$4))),0)</f>
        <v>0</v>
      </c>
      <c r="F13" s="11" cm="1">
        <f t="array" ref="F13">IFERROR(SUMPRODUCT(('Consulta1'!$P$2:$P$1013=$H13)*(($C$4="")+('Consulta1'!$F$2:$F$1013=$C$4))*('Consulta1'!$T$2:$T$1013&lt;&gt;"OK")),0)</f>
        <v>0</v>
      </c>
      <c r="H13">
        <v>2</v>
      </c>
    </row>
    <row r="14" spans="1:14">
      <c r="A14" s="9" t="s">
        <v>22</v>
      </c>
      <c r="B14" s="10" cm="1">
        <f t="array" ref="B14">IFERROR(SUMPRODUCT(('Consulta1'!$P$2:$P$1013=$H14)*(($C$4="")+('Consulta1'!$F$2:$F$1013=$C$4))*'Consulta1'!$Q$2:$Q$1013),0)</f>
        <v>22006</v>
      </c>
      <c r="C14" s="10" cm="1">
        <f t="array" ref="C14">IFERROR(SUMPRODUCT(('Consulta1'!$P$2:$P$1013=$H14)*(($C$4="")+('Consulta1'!$F$2:$F$1013=$C$4))*'Consulta1'!$R$2:$R$1013),0)</f>
        <v>7722.54</v>
      </c>
      <c r="D14" s="10" cm="1">
        <f t="array" ref="D14">IFERROR(SUMPRODUCT(('Consulta1'!$P$2:$P$1013=$H14)*(($C$4="")+('Consulta1'!$F$2:$F$1013=$C$4))*'Consulta1'!$N$2:$N$1013),0)</f>
        <v>14283.599999999999</v>
      </c>
      <c r="E14" s="11" cm="1">
        <f t="array" ref="E14">IFERROR(SUMPRODUCT(('Consulta1'!$P$2:$P$1013=$H14)*(($C$4="")+('Consulta1'!$F$2:$F$1013=$C$4))),0)</f>
        <v>3</v>
      </c>
      <c r="F14" s="11" cm="1">
        <f t="array" ref="F14">IFERROR(SUMPRODUCT(('Consulta1'!$P$2:$P$1013=$H14)*(($C$4="")+('Consulta1'!$F$2:$F$1013=$C$4))*('Consulta1'!$T$2:$T$1013&lt;&gt;"OK")),0)</f>
        <v>0</v>
      </c>
      <c r="H14">
        <v>3</v>
      </c>
    </row>
    <row r="15" spans="1:14">
      <c r="A15" s="9" t="s">
        <v>23</v>
      </c>
      <c r="B15" s="10" cm="1">
        <f t="array" ref="B15">IFERROR(SUMPRODUCT(('Consulta1'!$P$2:$P$1013=$H15)*(($C$4="")+('Consulta1'!$F$2:$F$1013=$C$4))*'Consulta1'!$Q$2:$Q$1013),0)</f>
        <v>27061</v>
      </c>
      <c r="C15" s="10" cm="1">
        <f t="array" ref="C15">IFERROR(SUMPRODUCT(('Consulta1'!$P$2:$P$1013=$H15)*(($C$4="")+('Consulta1'!$F$2:$F$1013=$C$4))*'Consulta1'!$R$2:$R$1013),0)</f>
        <v>10675.380000000001</v>
      </c>
      <c r="D15" s="10" cm="1">
        <f t="array" ref="D15">IFERROR(SUMPRODUCT(('Consulta1'!$P$2:$P$1013=$H15)*(($C$4="")+('Consulta1'!$F$2:$F$1013=$C$4))*'Consulta1'!$N$2:$N$1013),0)</f>
        <v>16385.8</v>
      </c>
      <c r="E15" s="11" cm="1">
        <f t="array" ref="E15">IFERROR(SUMPRODUCT(('Consulta1'!$P$2:$P$1013=$H15)*(($C$4="")+('Consulta1'!$F$2:$F$1013=$C$4))),0)</f>
        <v>5</v>
      </c>
      <c r="F15" s="11" cm="1">
        <f t="array" ref="F15">IFERROR(SUMPRODUCT(('Consulta1'!$P$2:$P$1013=$H15)*(($C$4="")+('Consulta1'!$F$2:$F$1013=$C$4))*('Consulta1'!$T$2:$T$1013&lt;&gt;"OK")),0)</f>
        <v>0</v>
      </c>
      <c r="H15">
        <v>4</v>
      </c>
    </row>
    <row r="16" spans="1:14">
      <c r="A16" s="9" t="s">
        <v>24</v>
      </c>
      <c r="B16" s="10" cm="1">
        <f t="array" ref="B16">IFERROR(SUMPRODUCT(('Consulta1'!$P$2:$P$1013=$H16)*(($C$4="")+('Consulta1'!$F$2:$F$1013=$C$4))*'Consulta1'!$Q$2:$Q$1013),0)</f>
        <v>16236.599999999999</v>
      </c>
      <c r="C16" s="10" cm="1">
        <f t="array" ref="C16">IFERROR(SUMPRODUCT(('Consulta1'!$P$2:$P$1013=$H16)*(($C$4="")+('Consulta1'!$F$2:$F$1013=$C$4))*'Consulta1'!$R$2:$R$1013),0)</f>
        <v>6457.92</v>
      </c>
      <c r="D16" s="10" cm="1">
        <f t="array" ref="D16">IFERROR(SUMPRODUCT(('Consulta1'!$P$2:$P$1013=$H16)*(($C$4="")+('Consulta1'!$F$2:$F$1013=$C$4))*'Consulta1'!$N$2:$N$1013),0)</f>
        <v>9778.7999999999993</v>
      </c>
      <c r="E16" s="11" cm="1">
        <f t="array" ref="E16">IFERROR(SUMPRODUCT(('Consulta1'!$P$2:$P$1013=$H16)*(($C$4="")+('Consulta1'!$F$2:$F$1013=$C$4))),0)</f>
        <v>3</v>
      </c>
      <c r="F16" s="11" cm="1">
        <f t="array" ref="F16">IFERROR(SUMPRODUCT(('Consulta1'!$P$2:$P$1013=$H16)*(($C$4="")+('Consulta1'!$F$2:$F$1013=$C$4))*('Consulta1'!$T$2:$T$1013&lt;&gt;"OK")),0)</f>
        <v>0</v>
      </c>
      <c r="H16">
        <v>5</v>
      </c>
    </row>
    <row r="17" spans="1:8">
      <c r="A17" s="9" t="s">
        <v>25</v>
      </c>
      <c r="B17" s="10" cm="1">
        <f t="array" ref="B17">IFERROR(SUMPRODUCT(('Consulta1'!$P$2:$P$1013=$H17)*(($C$4="")+('Consulta1'!$F$2:$F$1013=$C$4))*'Consulta1'!$Q$2:$Q$1013),0)</f>
        <v>15334.57</v>
      </c>
      <c r="C17" s="10" cm="1">
        <f t="array" ref="C17">IFERROR(SUMPRODUCT(('Consulta1'!$P$2:$P$1013=$H17)*(($C$4="")+('Consulta1'!$F$2:$F$1013=$C$4))*'Consulta1'!$R$2:$R$1013),0)</f>
        <v>6249.9</v>
      </c>
      <c r="D17" s="10" cm="1">
        <f t="array" ref="D17">IFERROR(SUMPRODUCT(('Consulta1'!$P$2:$P$1013=$H17)*(($C$4="")+('Consulta1'!$F$2:$F$1013=$C$4))*'Consulta1'!$N$2:$N$1013),0)</f>
        <v>9084.8000000000011</v>
      </c>
      <c r="E17" s="11" cm="1">
        <f t="array" ref="E17">IFERROR(SUMPRODUCT(('Consulta1'!$P$2:$P$1013=$H17)*(($C$4="")+('Consulta1'!$F$2:$F$1013=$C$4))),0)</f>
        <v>3</v>
      </c>
      <c r="F17" s="11" cm="1">
        <f t="array" ref="F17">IFERROR(SUMPRODUCT(('Consulta1'!$P$2:$P$1013=$H17)*(($C$4="")+('Consulta1'!$F$2:$F$1013=$C$4))*('Consulta1'!$T$2:$T$1013&lt;&gt;"OK")),0)</f>
        <v>0</v>
      </c>
      <c r="H17">
        <v>6</v>
      </c>
    </row>
    <row r="18" spans="1:8">
      <c r="A18" s="9" t="s">
        <v>26</v>
      </c>
      <c r="B18" s="10" cm="1">
        <f t="array" ref="B18">IFERROR(SUMPRODUCT(('Consulta1'!$P$2:$P$1013=$H18)*(($C$4="")+('Consulta1'!$F$2:$F$1013=$C$4))*'Consulta1'!$Q$2:$Q$1013),0)</f>
        <v>21648.799999999999</v>
      </c>
      <c r="C18" s="10" cm="1">
        <f t="array" ref="C18">IFERROR(SUMPRODUCT(('Consulta1'!$P$2:$P$1013=$H18)*(($C$4="")+('Consulta1'!$F$2:$F$1013=$C$4))*'Consulta1'!$R$2:$R$1013),0)</f>
        <v>8495.2100000000009</v>
      </c>
      <c r="D18" s="10" cm="1">
        <f t="array" ref="D18">IFERROR(SUMPRODUCT(('Consulta1'!$P$2:$P$1013=$H18)*(($C$4="")+('Consulta1'!$F$2:$F$1013=$C$4))*'Consulta1'!$N$2:$N$1013),0)</f>
        <v>13153.800000000001</v>
      </c>
      <c r="E18" s="11" cm="1">
        <f t="array" ref="E18">IFERROR(SUMPRODUCT(('Consulta1'!$P$2:$P$1013=$H18)*(($C$4="")+('Consulta1'!$F$2:$F$1013=$C$4))),0)</f>
        <v>4</v>
      </c>
      <c r="F18" s="11" cm="1">
        <f t="array" ref="F18">IFERROR(SUMPRODUCT(('Consulta1'!$P$2:$P$1013=$H18)*(($C$4="")+('Consulta1'!$F$2:$F$1013=$C$4))*('Consulta1'!$T$2:$T$1013&lt;&gt;"OK")),0)</f>
        <v>0</v>
      </c>
      <c r="H18">
        <v>7</v>
      </c>
    </row>
    <row r="19" spans="1:8">
      <c r="A19" s="9" t="s">
        <v>27</v>
      </c>
      <c r="B19" s="10" cm="1">
        <f t="array" ref="B19">IFERROR(SUMPRODUCT(('Consulta1'!$P$2:$P$1013=$H19)*(($C$4="")+('Consulta1'!$F$2:$F$1013=$C$4))*'Consulta1'!$Q$2:$Q$1013),0)</f>
        <v>0</v>
      </c>
      <c r="C19" s="10" cm="1">
        <f t="array" ref="C19">IFERROR(SUMPRODUCT(('Consulta1'!$P$2:$P$1013=$H19)*(($C$4="")+('Consulta1'!$F$2:$F$1013=$C$4))*'Consulta1'!$R$2:$R$1013),0)</f>
        <v>0</v>
      </c>
      <c r="D19" s="10" cm="1">
        <f t="array" ref="D19">IFERROR(SUMPRODUCT(('Consulta1'!$P$2:$P$1013=$H19)*(($C$4="")+('Consulta1'!$F$2:$F$1013=$C$4))*'Consulta1'!$N$2:$N$1013),0)</f>
        <v>0</v>
      </c>
      <c r="E19" s="11" cm="1">
        <f t="array" ref="E19">IFERROR(SUMPRODUCT(('Consulta1'!$P$2:$P$1013=$H19)*(($C$4="")+('Consulta1'!$F$2:$F$1013=$C$4))),0)</f>
        <v>0</v>
      </c>
      <c r="F19" s="11" cm="1">
        <f t="array" ref="F19">IFERROR(SUMPRODUCT(('Consulta1'!$P$2:$P$1013=$H19)*(($C$4="")+('Consulta1'!$F$2:$F$1013=$C$4))*('Consulta1'!$T$2:$T$1013&lt;&gt;"OK")),0)</f>
        <v>0</v>
      </c>
      <c r="H19">
        <v>8</v>
      </c>
    </row>
    <row r="20" spans="1:8">
      <c r="A20" s="9" t="s">
        <v>16</v>
      </c>
      <c r="B20" s="10" cm="1">
        <f t="array" ref="B20">IFERROR(SUMPRODUCT(('Consulta1'!$P$2:$P$1013=$H20)*(($C$4="")+('Consulta1'!$F$2:$F$1013=$C$4))*'Consulta1'!$Q$2:$Q$1013),0)</f>
        <v>0</v>
      </c>
      <c r="C20" s="10" cm="1">
        <f t="array" ref="C20">IFERROR(SUMPRODUCT(('Consulta1'!$P$2:$P$1013=$H20)*(($C$4="")+('Consulta1'!$F$2:$F$1013=$C$4))*'Consulta1'!$R$2:$R$1013),0)</f>
        <v>0</v>
      </c>
      <c r="D20" s="10" cm="1">
        <f t="array" ref="D20">IFERROR(SUMPRODUCT(('Consulta1'!$P$2:$P$1013=$H20)*(($C$4="")+('Consulta1'!$F$2:$F$1013=$C$4))*'Consulta1'!$N$2:$N$1013),0)</f>
        <v>0</v>
      </c>
      <c r="E20" s="11" cm="1">
        <f t="array" ref="E20">IFERROR(SUMPRODUCT(('Consulta1'!$P$2:$P$1013=$H20)*(($C$4="")+('Consulta1'!$F$2:$F$1013=$C$4))),0)</f>
        <v>0</v>
      </c>
      <c r="F20" s="11" cm="1">
        <f t="array" ref="F20">IFERROR(SUMPRODUCT(('Consulta1'!$P$2:$P$1013=$H20)*(($C$4="")+('Consulta1'!$F$2:$F$1013=$C$4))*('Consulta1'!$T$2:$T$1013&lt;&gt;"OK")),0)</f>
        <v>0</v>
      </c>
      <c r="H20">
        <v>9</v>
      </c>
    </row>
    <row r="21" spans="1:8">
      <c r="A21" s="9" t="s">
        <v>17</v>
      </c>
      <c r="B21" s="10" cm="1">
        <f t="array" ref="B21">IFERROR(SUMPRODUCT(('Consulta1'!$P$2:$P$1013=$H21)*(($C$4="")+('Consulta1'!$F$2:$F$1013=$C$4))*'Consulta1'!$Q$2:$Q$1013),0)</f>
        <v>0</v>
      </c>
      <c r="C21" s="10" cm="1">
        <f t="array" ref="C21">IFERROR(SUMPRODUCT(('Consulta1'!$P$2:$P$1013=$H21)*(($C$4="")+('Consulta1'!$F$2:$F$1013=$C$4))*'Consulta1'!$R$2:$R$1013),0)</f>
        <v>0</v>
      </c>
      <c r="D21" s="10" cm="1">
        <f t="array" ref="D21">IFERROR(SUMPRODUCT(('Consulta1'!$P$2:$P$1013=$H21)*(($C$4="")+('Consulta1'!$F$2:$F$1013=$C$4))*'Consulta1'!$N$2:$N$1013),0)</f>
        <v>0</v>
      </c>
      <c r="E21" s="11" cm="1">
        <f t="array" ref="E21">IFERROR(SUMPRODUCT(('Consulta1'!$P$2:$P$1013=$H21)*(($C$4="")+('Consulta1'!$F$2:$F$1013=$C$4))),0)</f>
        <v>0</v>
      </c>
      <c r="F21" s="11" cm="1">
        <f t="array" ref="F21">IFERROR(SUMPRODUCT(('Consulta1'!$P$2:$P$1013=$H21)*(($C$4="")+('Consulta1'!$F$2:$F$1013=$C$4))*('Consulta1'!$T$2:$T$1013&lt;&gt;"OK")),0)</f>
        <v>0</v>
      </c>
      <c r="H21">
        <v>10</v>
      </c>
    </row>
    <row r="22" spans="1:8">
      <c r="A22" s="9" t="s">
        <v>18</v>
      </c>
      <c r="B22" s="10" cm="1">
        <f t="array" ref="B22">IFERROR(SUMPRODUCT(('Consulta1'!$P$2:$P$1013=$H22)*(($C$4="")+('Consulta1'!$F$2:$F$1013=$C$4))*'Consulta1'!$Q$2:$Q$1013),0)</f>
        <v>0</v>
      </c>
      <c r="C22" s="10" cm="1">
        <f t="array" ref="C22">IFERROR(SUMPRODUCT(('Consulta1'!$P$2:$P$1013=$H22)*(($C$4="")+('Consulta1'!$F$2:$F$1013=$C$4))*'Consulta1'!$R$2:$R$1013),0)</f>
        <v>0</v>
      </c>
      <c r="D22" s="10" cm="1">
        <f t="array" ref="D22">IFERROR(SUMPRODUCT(('Consulta1'!$P$2:$P$1013=$H22)*(($C$4="")+('Consulta1'!$F$2:$F$1013=$C$4))*'Consulta1'!$N$2:$N$1013),0)</f>
        <v>0</v>
      </c>
      <c r="E22" s="11" cm="1">
        <f t="array" ref="E22">IFERROR(SUMPRODUCT(('Consulta1'!$P$2:$P$1013=$H22)*(($C$4="")+('Consulta1'!$F$2:$F$1013=$C$4))),0)</f>
        <v>0</v>
      </c>
      <c r="F22" s="11" cm="1">
        <f t="array" ref="F22">IFERROR(SUMPRODUCT(('Consulta1'!$P$2:$P$1013=$H22)*(($C$4="")+('Consulta1'!$F$2:$F$1013=$C$4))*('Consulta1'!$T$2:$T$1013&lt;&gt;"OK")),0)</f>
        <v>0</v>
      </c>
      <c r="H22">
        <v>11</v>
      </c>
    </row>
    <row r="23" spans="1:8">
      <c r="A23" s="9" t="s">
        <v>19</v>
      </c>
      <c r="B23" s="10" cm="1">
        <f t="array" ref="B23">IFERROR(SUMPRODUCT(('Consulta1'!$P$2:$P$1013=$H23)*(($C$4="")+('Consulta1'!$F$2:$F$1013=$C$4))*'Consulta1'!$Q$2:$Q$1013),0)</f>
        <v>0</v>
      </c>
      <c r="C23" s="10" cm="1">
        <f t="array" ref="C23">IFERROR(SUMPRODUCT(('Consulta1'!$P$2:$P$1013=$H23)*(($C$4="")+('Consulta1'!$F$2:$F$1013=$C$4))*'Consulta1'!$R$2:$R$1013),0)</f>
        <v>0</v>
      </c>
      <c r="D23" s="10" cm="1">
        <f t="array" ref="D23">IFERROR(SUMPRODUCT(('Consulta1'!$P$2:$P$1013=$H23)*(($C$4="")+('Consulta1'!$F$2:$F$1013=$C$4))*'Consulta1'!$N$2:$N$1013),0)</f>
        <v>0</v>
      </c>
      <c r="E23" s="11" cm="1">
        <f t="array" ref="E23">IFERROR(SUMPRODUCT(('Consulta1'!$P$2:$P$1013=$H23)*(($C$4="")+('Consulta1'!$F$2:$F$1013=$C$4))),0)</f>
        <v>0</v>
      </c>
      <c r="F23" s="11" cm="1">
        <f t="array" ref="F23">IFERROR(SUMPRODUCT(('Consulta1'!$P$2:$P$1013=$H23)*(($C$4="")+('Consulta1'!$F$2:$F$1013=$C$4))*('Consulta1'!$T$2:$T$1013&lt;&gt;"OK")),0)</f>
        <v>0</v>
      </c>
      <c r="H23">
        <v>12</v>
      </c>
    </row>
    <row r="24" spans="1:8">
      <c r="A24" s="12" t="s">
        <v>39</v>
      </c>
      <c r="B24" s="13">
        <f>SUM(B12:B23)</f>
        <v>102286.97</v>
      </c>
      <c r="C24" s="13">
        <f>SUM(C12:C23)</f>
        <v>39600.950000000004</v>
      </c>
      <c r="D24" s="13">
        <f>SUM(D12:D23)</f>
        <v>62686.8</v>
      </c>
      <c r="E24" s="14">
        <f>SUM(E12:E23)</f>
        <v>18</v>
      </c>
      <c r="F24" s="14">
        <f>SUM(F12:F23)</f>
        <v>0</v>
      </c>
    </row>
  </sheetData>
  <dataValidations count="2">
    <dataValidation type="list" allowBlank="1" sqref="C5" xr:uid="{00000000-0002-0000-0000-000000000000}">
      <formula1>"1,2,3,4,5,6,7,8,9,10,11,12"</formula1>
    </dataValidation>
    <dataValidation type="list" allowBlank="1" sqref="C4" xr:uid="{00000000-0002-0000-0000-000001000000}">
      <formula1>_xlfn.ANCHORARRAY($N$1)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Actualizar_XML">
                <anchor moveWithCells="1" sizeWithCells="1">
                  <from>
                    <xdr:col>4</xdr:col>
                    <xdr:colOff>708660</xdr:colOff>
                    <xdr:row>1</xdr:row>
                    <xdr:rowOff>175260</xdr:rowOff>
                  </from>
                  <to>
                    <xdr:col>5</xdr:col>
                    <xdr:colOff>594360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3C981-D369-4741-8436-CBE5E9713400}">
  <sheetPr codeName="Hoja3">
    <tabColor theme="9" tint="0.39997558519241921"/>
  </sheetPr>
  <dimension ref="A1:CE5"/>
  <sheetViews>
    <sheetView workbookViewId="0">
      <selection activeCell="D5" sqref="D5"/>
    </sheetView>
  </sheetViews>
  <sheetFormatPr baseColWidth="10" defaultColWidth="11.44140625" defaultRowHeight="14.4"/>
  <cols>
    <col min="1" max="1" width="4.6640625" style="2" customWidth="1"/>
    <col min="2" max="2" width="38.6640625" style="1" bestFit="1" customWidth="1"/>
    <col min="3" max="3" width="23.44140625" style="1" customWidth="1"/>
    <col min="4" max="4" width="23.44140625" style="2" bestFit="1" customWidth="1"/>
    <col min="5" max="5" width="11.88671875" style="2" customWidth="1"/>
    <col min="6" max="6" width="15.33203125" style="260" customWidth="1"/>
    <col min="7" max="7" width="49.88671875" style="1" customWidth="1"/>
    <col min="8" max="8" width="37.44140625" style="1" customWidth="1"/>
    <col min="9" max="9" width="14.109375" style="1" customWidth="1"/>
    <col min="10" max="10" width="11.44140625" style="1" customWidth="1"/>
    <col min="11" max="11" width="16.6640625" style="1" customWidth="1"/>
    <col min="12" max="12" width="14.6640625" style="1" customWidth="1"/>
    <col min="13" max="13" width="11.88671875" style="1" customWidth="1"/>
    <col min="14" max="14" width="15" style="2" customWidth="1"/>
    <col min="15" max="15" width="30" style="2" customWidth="1"/>
    <col min="16" max="16" width="14.33203125" style="1" customWidth="1"/>
    <col min="17" max="17" width="18.6640625" style="2" customWidth="1"/>
    <col min="18" max="18" width="18.6640625" style="261" customWidth="1"/>
    <col min="19" max="19" width="23.33203125" style="25" customWidth="1"/>
    <col min="20" max="20" width="20" style="257" customWidth="1"/>
    <col min="21" max="21" width="19.109375" style="1" customWidth="1"/>
    <col min="22" max="22" width="29.109375" style="1" customWidth="1"/>
    <col min="23" max="23" width="21.44140625" style="262" customWidth="1"/>
    <col min="24" max="24" width="34.44140625" style="1" customWidth="1"/>
    <col min="25" max="25" width="34.44140625" style="2" customWidth="1"/>
    <col min="26" max="26" width="26.6640625" style="1" customWidth="1"/>
    <col min="27" max="27" width="70.33203125" style="2" customWidth="1"/>
    <col min="28" max="28" width="26.6640625" style="261" customWidth="1"/>
    <col min="29" max="29" width="28" style="1" customWidth="1"/>
    <col min="30" max="30" width="31.5546875" style="1" customWidth="1"/>
    <col min="31" max="31" width="21" style="2" customWidth="1"/>
    <col min="32" max="32" width="29.6640625" style="2" customWidth="1"/>
    <col min="33" max="33" width="33.5546875" style="9" customWidth="1"/>
    <col min="34" max="34" width="36" style="25" customWidth="1"/>
    <col min="35" max="35" width="42.5546875" style="1" customWidth="1"/>
    <col min="36" max="36" width="40.44140625" style="184" customWidth="1"/>
    <col min="37" max="37" width="34.33203125" style="1" customWidth="1"/>
    <col min="38" max="38" width="35" style="184" customWidth="1"/>
    <col min="39" max="39" width="33.44140625" style="1" customWidth="1"/>
    <col min="40" max="40" width="35.109375" style="1" customWidth="1"/>
    <col min="41" max="41" width="33.5546875" style="1" customWidth="1"/>
    <col min="42" max="42" width="26.109375" style="184" customWidth="1"/>
    <col min="43" max="43" width="27.109375" style="184" customWidth="1"/>
    <col min="44" max="44" width="29.44140625" style="1" customWidth="1"/>
    <col min="45" max="45" width="32.44140625" style="1" customWidth="1"/>
    <col min="46" max="46" width="30.6640625" style="1" customWidth="1"/>
    <col min="47" max="47" width="33.6640625" style="184" customWidth="1"/>
    <col min="48" max="48" width="33.33203125" style="184" customWidth="1"/>
    <col min="49" max="49" width="31.6640625" style="184" customWidth="1"/>
    <col min="50" max="50" width="42.44140625" style="184" customWidth="1"/>
    <col min="51" max="51" width="40.6640625" style="1" customWidth="1"/>
    <col min="52" max="52" width="35.33203125" style="1" customWidth="1"/>
    <col min="53" max="53" width="33.6640625" style="1" customWidth="1"/>
    <col min="54" max="54" width="28.6640625" style="184" customWidth="1"/>
    <col min="55" max="55" width="27.109375" style="1" customWidth="1"/>
    <col min="56" max="56" width="34.6640625" style="184" customWidth="1"/>
    <col min="57" max="57" width="33.109375" style="184" customWidth="1"/>
    <col min="58" max="58" width="16.6640625" style="182" customWidth="1"/>
    <col min="59" max="59" width="41.44140625" style="1" customWidth="1"/>
    <col min="60" max="60" width="22" style="1" bestFit="1" customWidth="1"/>
    <col min="61" max="61" width="28.44140625" style="1" bestFit="1" customWidth="1"/>
    <col min="62" max="62" width="21.44140625" style="1" bestFit="1" customWidth="1"/>
    <col min="63" max="63" width="32" style="1" bestFit="1" customWidth="1"/>
    <col min="64" max="64" width="26.5546875" style="1" bestFit="1" customWidth="1"/>
    <col min="65" max="65" width="19.6640625" style="1" bestFit="1" customWidth="1"/>
    <col min="66" max="66" width="37.5546875" style="1" bestFit="1" customWidth="1"/>
    <col min="67" max="67" width="16.6640625" style="1" customWidth="1"/>
    <col min="68" max="68" width="16.6640625" style="183" customWidth="1"/>
    <col min="69" max="69" width="28.109375" style="183" bestFit="1" customWidth="1"/>
    <col min="70" max="70" width="22" style="183" bestFit="1" customWidth="1"/>
    <col min="71" max="71" width="33.44140625" style="1" customWidth="1"/>
    <col min="72" max="72" width="29" style="1" bestFit="1" customWidth="1"/>
    <col min="73" max="73" width="26.44140625" style="183" bestFit="1" customWidth="1"/>
    <col min="74" max="75" width="16.6640625" style="1" customWidth="1"/>
    <col min="76" max="76" width="24.88671875" style="1" bestFit="1" customWidth="1"/>
    <col min="77" max="77" width="16.6640625" style="256" customWidth="1"/>
    <col min="78" max="78" width="19.88671875" style="256" customWidth="1"/>
    <col min="79" max="79" width="16.6640625" style="258" customWidth="1"/>
    <col min="80" max="81" width="16.6640625" style="1" customWidth="1"/>
    <col min="82" max="82" width="16.6640625" style="9" customWidth="1"/>
    <col min="83" max="84" width="16.6640625" style="1" customWidth="1"/>
    <col min="85" max="112" width="11.44140625" style="1" customWidth="1"/>
    <col min="113" max="16384" width="11.44140625" style="1"/>
  </cols>
  <sheetData>
    <row r="1" spans="1:83" s="2" customFormat="1">
      <c r="A1" s="2" t="s">
        <v>45</v>
      </c>
      <c r="B1" s="2" t="s">
        <v>46</v>
      </c>
      <c r="C1" s="2" t="s">
        <v>47</v>
      </c>
      <c r="D1" s="2" t="s">
        <v>48</v>
      </c>
      <c r="E1" s="2" t="s">
        <v>49</v>
      </c>
      <c r="F1" s="260" t="s">
        <v>1</v>
      </c>
      <c r="G1" s="2" t="s">
        <v>50</v>
      </c>
      <c r="H1" s="2" t="s">
        <v>51</v>
      </c>
      <c r="I1" s="2" t="s">
        <v>52</v>
      </c>
      <c r="J1" s="2" t="s">
        <v>0</v>
      </c>
      <c r="K1" s="2" t="s">
        <v>9</v>
      </c>
      <c r="L1" s="2" t="s">
        <v>33</v>
      </c>
      <c r="M1" s="2" t="s">
        <v>34</v>
      </c>
      <c r="N1" s="2" t="s">
        <v>53</v>
      </c>
      <c r="O1" s="2" t="s">
        <v>54</v>
      </c>
      <c r="P1" s="2" t="s">
        <v>31</v>
      </c>
      <c r="Q1" s="2" t="s">
        <v>55</v>
      </c>
      <c r="R1" s="261" t="s">
        <v>364</v>
      </c>
      <c r="S1" s="25" t="s">
        <v>56</v>
      </c>
      <c r="T1" s="257" t="s">
        <v>57</v>
      </c>
      <c r="U1" s="2" t="s">
        <v>58</v>
      </c>
      <c r="V1" s="2" t="s">
        <v>59</v>
      </c>
      <c r="W1" s="261" t="s">
        <v>60</v>
      </c>
      <c r="X1" s="2" t="s">
        <v>61</v>
      </c>
      <c r="Y1" s="2" t="s">
        <v>62</v>
      </c>
      <c r="Z1" s="2" t="s">
        <v>63</v>
      </c>
      <c r="AA1" s="2" t="s">
        <v>64</v>
      </c>
      <c r="AB1" s="261" t="s">
        <v>65</v>
      </c>
      <c r="AC1" s="2" t="s">
        <v>66</v>
      </c>
      <c r="AD1" s="2" t="s">
        <v>67</v>
      </c>
      <c r="AE1" s="2" t="s">
        <v>68</v>
      </c>
      <c r="AF1" s="2" t="s">
        <v>69</v>
      </c>
      <c r="AG1" s="25" t="s">
        <v>70</v>
      </c>
      <c r="AH1" s="25" t="s">
        <v>71</v>
      </c>
      <c r="AI1" s="2" t="s">
        <v>72</v>
      </c>
      <c r="AJ1" s="185" t="s">
        <v>77</v>
      </c>
      <c r="AK1" s="2" t="s">
        <v>78</v>
      </c>
      <c r="AL1" s="185" t="s">
        <v>162</v>
      </c>
      <c r="AM1" s="2" t="s">
        <v>163</v>
      </c>
      <c r="AN1" s="2" t="s">
        <v>164</v>
      </c>
      <c r="AO1" s="2" t="s">
        <v>165</v>
      </c>
      <c r="AP1" s="185" t="s">
        <v>154</v>
      </c>
      <c r="AQ1" s="185" t="s">
        <v>155</v>
      </c>
      <c r="AR1" s="2" t="s">
        <v>166</v>
      </c>
      <c r="AS1" s="2" t="s">
        <v>167</v>
      </c>
      <c r="AT1" s="2" t="s">
        <v>73</v>
      </c>
      <c r="AU1" s="185" t="s">
        <v>74</v>
      </c>
      <c r="AV1" s="185" t="s">
        <v>75</v>
      </c>
      <c r="AW1" s="185" t="s">
        <v>76</v>
      </c>
      <c r="AX1" s="185" t="s">
        <v>168</v>
      </c>
      <c r="AY1" s="2" t="s">
        <v>169</v>
      </c>
      <c r="AZ1" s="2" t="s">
        <v>79</v>
      </c>
      <c r="BA1" s="2" t="s">
        <v>80</v>
      </c>
      <c r="BB1" s="185" t="s">
        <v>170</v>
      </c>
      <c r="BC1" s="2" t="s">
        <v>171</v>
      </c>
      <c r="BD1" s="185" t="s">
        <v>172</v>
      </c>
      <c r="BE1" s="185" t="s">
        <v>173</v>
      </c>
      <c r="BF1" s="26" t="s">
        <v>81</v>
      </c>
      <c r="BG1" s="2" t="s">
        <v>82</v>
      </c>
      <c r="BH1" s="2" t="s">
        <v>83</v>
      </c>
      <c r="BI1" s="2" t="s">
        <v>84</v>
      </c>
      <c r="BJ1" s="2" t="s">
        <v>85</v>
      </c>
      <c r="BK1" s="2" t="s">
        <v>86</v>
      </c>
      <c r="BL1" s="2" t="s">
        <v>87</v>
      </c>
      <c r="BM1" s="2" t="s">
        <v>88</v>
      </c>
      <c r="BN1" s="2" t="s">
        <v>89</v>
      </c>
      <c r="BO1" s="2" t="s">
        <v>90</v>
      </c>
      <c r="BP1" s="259" t="s">
        <v>91</v>
      </c>
      <c r="BQ1" s="259" t="s">
        <v>96</v>
      </c>
      <c r="BR1" s="259" t="s">
        <v>174</v>
      </c>
      <c r="BS1" s="2" t="s">
        <v>92</v>
      </c>
      <c r="BT1" s="2" t="s">
        <v>93</v>
      </c>
      <c r="BU1" s="259" t="s">
        <v>175</v>
      </c>
      <c r="BV1" s="2" t="s">
        <v>94</v>
      </c>
      <c r="BW1" s="2" t="s">
        <v>95</v>
      </c>
      <c r="BX1" s="2" t="s">
        <v>176</v>
      </c>
      <c r="BY1" s="256" t="s">
        <v>97</v>
      </c>
      <c r="BZ1" s="256" t="s">
        <v>98</v>
      </c>
      <c r="CA1" s="257" t="s">
        <v>99</v>
      </c>
      <c r="CB1" s="2" t="s">
        <v>100</v>
      </c>
      <c r="CC1" s="2" t="s">
        <v>101</v>
      </c>
      <c r="CD1" s="25" t="s">
        <v>102</v>
      </c>
      <c r="CE1" s="2" t="s">
        <v>102</v>
      </c>
    </row>
    <row r="2" spans="1:83">
      <c r="A2" s="2" t="s">
        <v>177</v>
      </c>
      <c r="C2" s="1" t="s">
        <v>139</v>
      </c>
      <c r="E2" s="2" t="s">
        <v>105</v>
      </c>
      <c r="H2" s="1" t="s">
        <v>117</v>
      </c>
      <c r="I2" s="1" t="s">
        <v>118</v>
      </c>
      <c r="J2" s="1" t="s">
        <v>106</v>
      </c>
      <c r="K2" s="1" t="s">
        <v>35</v>
      </c>
      <c r="L2" s="1" t="s">
        <v>119</v>
      </c>
      <c r="O2" s="2" t="s">
        <v>107</v>
      </c>
      <c r="P2" s="1" t="s">
        <v>108</v>
      </c>
      <c r="Q2" s="2" t="s">
        <v>109</v>
      </c>
      <c r="R2" s="261" t="str">
        <f t="shared" ref="R2:R5" si="0">MID(S2,4,2)</f>
        <v>01</v>
      </c>
      <c r="S2" s="25" t="s">
        <v>140</v>
      </c>
      <c r="T2" s="257">
        <v>1558.89</v>
      </c>
      <c r="U2" s="1">
        <v>0.21</v>
      </c>
      <c r="Y2" s="2" t="s">
        <v>138</v>
      </c>
      <c r="Z2" s="1" t="s">
        <v>121</v>
      </c>
      <c r="AA2" s="2" t="s">
        <v>111</v>
      </c>
      <c r="AC2" s="1" t="s">
        <v>122</v>
      </c>
      <c r="AD2" s="1" t="s">
        <v>112</v>
      </c>
      <c r="AE2" s="2" t="s">
        <v>123</v>
      </c>
      <c r="AG2" s="9" t="s">
        <v>141</v>
      </c>
      <c r="AH2" s="25" t="s">
        <v>142</v>
      </c>
      <c r="AI2" s="1">
        <v>0</v>
      </c>
      <c r="AJ2" s="184">
        <v>145.21</v>
      </c>
      <c r="AK2" s="1">
        <v>0</v>
      </c>
      <c r="AL2" s="184">
        <v>145.21</v>
      </c>
      <c r="AM2" s="1">
        <v>0</v>
      </c>
      <c r="AN2" s="1">
        <v>0</v>
      </c>
      <c r="AO2" s="1">
        <v>0</v>
      </c>
      <c r="AP2" s="184">
        <v>0</v>
      </c>
      <c r="AQ2" s="184">
        <v>0</v>
      </c>
      <c r="AR2" s="1">
        <v>0</v>
      </c>
      <c r="AS2" s="1">
        <v>0</v>
      </c>
      <c r="AT2" s="1">
        <v>0</v>
      </c>
      <c r="AU2" s="184">
        <v>51.86</v>
      </c>
      <c r="AV2" s="184">
        <v>1452.08</v>
      </c>
      <c r="AW2" s="184">
        <v>0</v>
      </c>
      <c r="AX2" s="184">
        <v>2834.52</v>
      </c>
      <c r="AY2" s="1">
        <v>0</v>
      </c>
      <c r="AZ2" s="1">
        <v>0</v>
      </c>
      <c r="BA2" s="1">
        <v>0</v>
      </c>
      <c r="BB2" s="184">
        <v>174.25</v>
      </c>
      <c r="BC2" s="1">
        <v>0</v>
      </c>
      <c r="BD2" s="184">
        <v>0</v>
      </c>
      <c r="BE2" s="184">
        <v>0</v>
      </c>
      <c r="BF2" s="182">
        <v>4803.13</v>
      </c>
      <c r="BG2" s="1">
        <v>0</v>
      </c>
      <c r="BH2" s="1">
        <v>0.21</v>
      </c>
      <c r="BI2" s="1">
        <v>0</v>
      </c>
      <c r="BJ2" s="1">
        <v>0</v>
      </c>
      <c r="BK2" s="1">
        <v>0</v>
      </c>
      <c r="BL2" s="1" t="s">
        <v>104</v>
      </c>
      <c r="BM2" s="1" t="s">
        <v>104</v>
      </c>
      <c r="BN2" s="1" t="s">
        <v>104</v>
      </c>
      <c r="BO2" s="1">
        <v>0.21</v>
      </c>
      <c r="BP2" s="183">
        <v>630.77</v>
      </c>
      <c r="BQ2" s="183">
        <v>605.76</v>
      </c>
      <c r="BR2" s="183">
        <v>215</v>
      </c>
      <c r="BS2" s="1">
        <v>0</v>
      </c>
      <c r="BT2" s="1">
        <v>0</v>
      </c>
      <c r="BU2" s="183">
        <v>107.36</v>
      </c>
      <c r="BV2" s="1">
        <v>0</v>
      </c>
      <c r="BW2" s="1">
        <v>0</v>
      </c>
      <c r="BX2" s="1">
        <v>0</v>
      </c>
      <c r="BY2" s="256">
        <v>0</v>
      </c>
      <c r="BZ2" s="256">
        <v>0</v>
      </c>
      <c r="CA2" s="258">
        <v>1558.89</v>
      </c>
      <c r="CB2" s="1">
        <v>0</v>
      </c>
      <c r="CC2" s="1">
        <v>0</v>
      </c>
      <c r="CD2" s="9">
        <v>3244.45</v>
      </c>
    </row>
    <row r="3" spans="1:83">
      <c r="A3" s="2" t="s">
        <v>178</v>
      </c>
      <c r="C3" s="1" t="s">
        <v>143</v>
      </c>
      <c r="E3" s="2" t="s">
        <v>105</v>
      </c>
      <c r="H3" s="1" t="s">
        <v>117</v>
      </c>
      <c r="I3" s="1" t="s">
        <v>118</v>
      </c>
      <c r="J3" s="1" t="s">
        <v>106</v>
      </c>
      <c r="K3" s="1" t="s">
        <v>35</v>
      </c>
      <c r="L3" s="1" t="s">
        <v>119</v>
      </c>
      <c r="O3" s="2" t="s">
        <v>107</v>
      </c>
      <c r="P3" s="1" t="s">
        <v>108</v>
      </c>
      <c r="Q3" s="2" t="s">
        <v>109</v>
      </c>
      <c r="R3" s="261" t="str">
        <f t="shared" si="0"/>
        <v>01</v>
      </c>
      <c r="S3" s="25" t="s">
        <v>144</v>
      </c>
      <c r="T3" s="257">
        <v>1391.81</v>
      </c>
      <c r="U3" s="1">
        <v>0</v>
      </c>
      <c r="Y3" s="2" t="s">
        <v>145</v>
      </c>
      <c r="Z3" s="1" t="s">
        <v>121</v>
      </c>
      <c r="AA3" s="2" t="s">
        <v>111</v>
      </c>
      <c r="AC3" s="1" t="s">
        <v>122</v>
      </c>
      <c r="AD3" s="1" t="s">
        <v>112</v>
      </c>
      <c r="AE3" s="2" t="s">
        <v>123</v>
      </c>
      <c r="AG3" s="9" t="s">
        <v>146</v>
      </c>
      <c r="AH3" s="25" t="s">
        <v>142</v>
      </c>
      <c r="AI3" s="1">
        <v>0</v>
      </c>
      <c r="AJ3" s="184">
        <v>145.21</v>
      </c>
      <c r="AK3" s="1">
        <v>0</v>
      </c>
      <c r="AL3" s="184">
        <v>145.21</v>
      </c>
      <c r="AM3" s="1">
        <v>0</v>
      </c>
      <c r="AN3" s="1">
        <v>0</v>
      </c>
      <c r="AO3" s="1">
        <v>0</v>
      </c>
      <c r="AP3" s="184">
        <v>0</v>
      </c>
      <c r="AQ3" s="184">
        <v>0</v>
      </c>
      <c r="AR3" s="1">
        <v>0</v>
      </c>
      <c r="AS3" s="1">
        <v>0</v>
      </c>
      <c r="AT3" s="1">
        <v>0</v>
      </c>
      <c r="AU3" s="184">
        <v>51.86</v>
      </c>
      <c r="AV3" s="184">
        <v>1452.08</v>
      </c>
      <c r="AW3" s="184">
        <v>0</v>
      </c>
      <c r="AX3" s="184">
        <v>2052.29</v>
      </c>
      <c r="AY3" s="1">
        <v>0</v>
      </c>
      <c r="AZ3" s="1">
        <v>0</v>
      </c>
      <c r="BA3" s="1">
        <v>0</v>
      </c>
      <c r="BB3" s="184">
        <v>174.25</v>
      </c>
      <c r="BC3" s="1">
        <v>0</v>
      </c>
      <c r="BD3" s="184">
        <v>0</v>
      </c>
      <c r="BE3" s="184">
        <v>0</v>
      </c>
      <c r="BF3" s="182">
        <v>4020.9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 t="s">
        <v>104</v>
      </c>
      <c r="BM3" s="1" t="s">
        <v>104</v>
      </c>
      <c r="BN3" s="1" t="s">
        <v>104</v>
      </c>
      <c r="BO3" s="1">
        <v>0</v>
      </c>
      <c r="BP3" s="183">
        <v>463.69</v>
      </c>
      <c r="BQ3" s="183">
        <v>605.76</v>
      </c>
      <c r="BR3" s="183">
        <v>215</v>
      </c>
      <c r="BS3" s="1">
        <v>0</v>
      </c>
      <c r="BT3" s="1">
        <v>0</v>
      </c>
      <c r="BU3" s="183">
        <v>107.36</v>
      </c>
      <c r="BV3" s="1">
        <v>0</v>
      </c>
      <c r="BW3" s="1">
        <v>0</v>
      </c>
      <c r="BX3" s="1">
        <v>0</v>
      </c>
      <c r="BY3" s="256">
        <v>0</v>
      </c>
      <c r="BZ3" s="256">
        <v>0</v>
      </c>
      <c r="CA3" s="258">
        <v>1391.81</v>
      </c>
      <c r="CB3" s="1">
        <v>0</v>
      </c>
      <c r="CC3" s="1">
        <v>0</v>
      </c>
      <c r="CD3" s="9">
        <v>2629.09</v>
      </c>
    </row>
    <row r="4" spans="1:83">
      <c r="A4" s="2" t="s">
        <v>179</v>
      </c>
      <c r="C4" s="1" t="s">
        <v>147</v>
      </c>
      <c r="E4" s="2" t="s">
        <v>105</v>
      </c>
      <c r="H4" s="1" t="s">
        <v>117</v>
      </c>
      <c r="I4" s="1" t="s">
        <v>118</v>
      </c>
      <c r="J4" s="1" t="s">
        <v>106</v>
      </c>
      <c r="K4" s="1" t="s">
        <v>35</v>
      </c>
      <c r="L4" s="1" t="s">
        <v>119</v>
      </c>
      <c r="O4" s="2" t="s">
        <v>107</v>
      </c>
      <c r="P4" s="1" t="s">
        <v>108</v>
      </c>
      <c r="Q4" s="2" t="s">
        <v>109</v>
      </c>
      <c r="R4" s="261" t="str">
        <f t="shared" si="0"/>
        <v>01</v>
      </c>
      <c r="S4" s="25" t="s">
        <v>148</v>
      </c>
      <c r="T4" s="257">
        <v>1349.4</v>
      </c>
      <c r="U4" s="1">
        <v>159.29</v>
      </c>
      <c r="Y4" s="2" t="s">
        <v>136</v>
      </c>
      <c r="Z4" s="1" t="s">
        <v>121</v>
      </c>
      <c r="AA4" s="2" t="s">
        <v>111</v>
      </c>
      <c r="AC4" s="1" t="s">
        <v>122</v>
      </c>
      <c r="AD4" s="1" t="s">
        <v>112</v>
      </c>
      <c r="AE4" s="2" t="s">
        <v>123</v>
      </c>
      <c r="AG4" s="9" t="s">
        <v>149</v>
      </c>
      <c r="AH4" s="25" t="s">
        <v>142</v>
      </c>
      <c r="AI4" s="1">
        <v>0</v>
      </c>
      <c r="AJ4" s="184">
        <v>145.21</v>
      </c>
      <c r="AK4" s="1">
        <v>0</v>
      </c>
      <c r="AL4" s="184">
        <v>145.21</v>
      </c>
      <c r="AM4" s="1">
        <v>0</v>
      </c>
      <c r="AN4" s="1">
        <v>0</v>
      </c>
      <c r="AO4" s="1">
        <v>0</v>
      </c>
      <c r="AP4" s="184">
        <v>0</v>
      </c>
      <c r="AQ4" s="184">
        <v>0</v>
      </c>
      <c r="AR4" s="1">
        <v>0</v>
      </c>
      <c r="AS4" s="1">
        <v>0</v>
      </c>
      <c r="AT4" s="1">
        <v>0</v>
      </c>
      <c r="AU4" s="184">
        <v>51.86</v>
      </c>
      <c r="AV4" s="184">
        <v>1452.08</v>
      </c>
      <c r="AW4" s="184">
        <v>0</v>
      </c>
      <c r="AX4" s="184">
        <v>1852.84</v>
      </c>
      <c r="AY4" s="1">
        <v>0</v>
      </c>
      <c r="AZ4" s="1">
        <v>0</v>
      </c>
      <c r="BA4" s="1">
        <v>0</v>
      </c>
      <c r="BB4" s="184">
        <v>174.25</v>
      </c>
      <c r="BC4" s="1">
        <v>0</v>
      </c>
      <c r="BD4" s="184">
        <v>0</v>
      </c>
      <c r="BE4" s="184">
        <v>0</v>
      </c>
      <c r="BF4" s="182">
        <v>3821.45</v>
      </c>
      <c r="BG4" s="1">
        <v>0</v>
      </c>
      <c r="BH4" s="1">
        <v>0</v>
      </c>
      <c r="BI4" s="1">
        <v>0</v>
      </c>
      <c r="BJ4" s="1">
        <v>159.29</v>
      </c>
      <c r="BK4" s="1">
        <v>0</v>
      </c>
      <c r="BL4" s="1">
        <v>159.29</v>
      </c>
      <c r="BM4" s="1" t="s">
        <v>137</v>
      </c>
      <c r="BN4" s="1">
        <v>0</v>
      </c>
      <c r="BO4" s="1">
        <v>159.29</v>
      </c>
      <c r="BP4" s="183">
        <v>421.09</v>
      </c>
      <c r="BQ4" s="183">
        <v>605.95000000000005</v>
      </c>
      <c r="BR4" s="183">
        <v>215</v>
      </c>
      <c r="BS4" s="1">
        <v>0</v>
      </c>
      <c r="BT4" s="1">
        <v>0</v>
      </c>
      <c r="BU4" s="183">
        <v>107.36</v>
      </c>
      <c r="BV4" s="1">
        <v>0</v>
      </c>
      <c r="BW4" s="1">
        <v>0</v>
      </c>
      <c r="BX4" s="1">
        <v>0</v>
      </c>
      <c r="BY4" s="256">
        <v>0</v>
      </c>
      <c r="BZ4" s="256">
        <v>0</v>
      </c>
      <c r="CA4" s="258">
        <v>1349.4</v>
      </c>
      <c r="CB4" s="1">
        <v>0</v>
      </c>
      <c r="CC4" s="1">
        <v>0</v>
      </c>
      <c r="CD4" s="9">
        <v>2631.3399999999997</v>
      </c>
    </row>
    <row r="5" spans="1:83">
      <c r="A5" s="2" t="s">
        <v>180</v>
      </c>
      <c r="C5" s="1" t="s">
        <v>150</v>
      </c>
      <c r="E5" s="2" t="s">
        <v>105</v>
      </c>
      <c r="H5" s="1" t="s">
        <v>117</v>
      </c>
      <c r="I5" s="1" t="s">
        <v>118</v>
      </c>
      <c r="J5" s="1" t="s">
        <v>106</v>
      </c>
      <c r="K5" s="1" t="s">
        <v>35</v>
      </c>
      <c r="L5" s="1" t="s">
        <v>119</v>
      </c>
      <c r="O5" s="2" t="s">
        <v>107</v>
      </c>
      <c r="P5" s="1" t="s">
        <v>108</v>
      </c>
      <c r="Q5" s="2" t="s">
        <v>109</v>
      </c>
      <c r="R5" s="261" t="str">
        <f t="shared" si="0"/>
        <v>01</v>
      </c>
      <c r="S5" s="25" t="s">
        <v>151</v>
      </c>
      <c r="T5" s="257">
        <v>1338.53</v>
      </c>
      <c r="U5" s="1">
        <v>0</v>
      </c>
      <c r="Y5" s="2" t="s">
        <v>152</v>
      </c>
      <c r="Z5" s="1" t="s">
        <v>121</v>
      </c>
      <c r="AA5" s="2" t="s">
        <v>111</v>
      </c>
      <c r="AC5" s="1" t="s">
        <v>122</v>
      </c>
      <c r="AD5" s="1" t="s">
        <v>112</v>
      </c>
      <c r="AE5" s="2" t="s">
        <v>123</v>
      </c>
      <c r="AG5" s="9" t="s">
        <v>153</v>
      </c>
      <c r="AH5" s="25" t="s">
        <v>142</v>
      </c>
      <c r="AI5" s="1">
        <v>0</v>
      </c>
      <c r="AJ5" s="184">
        <v>145.21</v>
      </c>
      <c r="AK5" s="1">
        <v>0</v>
      </c>
      <c r="AL5" s="184">
        <v>145.21</v>
      </c>
      <c r="AM5" s="1">
        <v>0</v>
      </c>
      <c r="AN5" s="1">
        <v>0</v>
      </c>
      <c r="AO5" s="1">
        <v>0</v>
      </c>
      <c r="AP5" s="184">
        <v>0</v>
      </c>
      <c r="AQ5" s="184">
        <v>0</v>
      </c>
      <c r="AR5" s="1">
        <v>0</v>
      </c>
      <c r="AS5" s="1">
        <v>0</v>
      </c>
      <c r="AT5" s="1">
        <v>0</v>
      </c>
      <c r="AU5" s="184">
        <v>0</v>
      </c>
      <c r="AV5" s="184">
        <v>1659.52</v>
      </c>
      <c r="AW5" s="184">
        <v>207.44</v>
      </c>
      <c r="AX5" s="184">
        <v>1689.2</v>
      </c>
      <c r="AY5" s="1">
        <v>0</v>
      </c>
      <c r="AZ5" s="1">
        <v>0</v>
      </c>
      <c r="BA5" s="1">
        <v>0</v>
      </c>
      <c r="BB5" s="184">
        <v>174.25</v>
      </c>
      <c r="BC5" s="1">
        <v>0</v>
      </c>
      <c r="BD5" s="184">
        <v>0</v>
      </c>
      <c r="BE5" s="184">
        <v>0</v>
      </c>
      <c r="BF5" s="182">
        <v>4020.83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 t="s">
        <v>104</v>
      </c>
      <c r="BM5" s="1" t="s">
        <v>104</v>
      </c>
      <c r="BN5" s="1" t="s">
        <v>104</v>
      </c>
      <c r="BO5" s="1">
        <v>0</v>
      </c>
      <c r="BP5" s="183">
        <v>430.44</v>
      </c>
      <c r="BQ5" s="183">
        <v>603.91999999999996</v>
      </c>
      <c r="BR5" s="183">
        <v>215</v>
      </c>
      <c r="BS5" s="1">
        <v>0</v>
      </c>
      <c r="BT5" s="1">
        <v>0</v>
      </c>
      <c r="BU5" s="183">
        <v>89.17</v>
      </c>
      <c r="BV5" s="1">
        <v>0</v>
      </c>
      <c r="BW5" s="1">
        <v>0</v>
      </c>
      <c r="BX5" s="1">
        <v>0</v>
      </c>
      <c r="BY5" s="256">
        <v>0</v>
      </c>
      <c r="BZ5" s="256">
        <v>0</v>
      </c>
      <c r="CA5" s="258">
        <v>1338.53</v>
      </c>
      <c r="CB5" s="1">
        <v>0</v>
      </c>
      <c r="CC5" s="1">
        <v>0</v>
      </c>
      <c r="CD5" s="9">
        <v>2682.3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1061D-5501-44D7-AC63-75DF397E1AE8}">
  <sheetPr codeName="Hoja4">
    <tabColor rgb="FFFF0000"/>
    <pageSetUpPr fitToPage="1"/>
  </sheetPr>
  <dimension ref="A1:I54"/>
  <sheetViews>
    <sheetView showGridLines="0" tabSelected="1" topLeftCell="G1" workbookViewId="0">
      <selection activeCell="H16" sqref="H16"/>
    </sheetView>
  </sheetViews>
  <sheetFormatPr baseColWidth="10" defaultColWidth="48.33203125" defaultRowHeight="12"/>
  <cols>
    <col min="1" max="1" width="13" style="13" hidden="1" customWidth="1"/>
    <col min="2" max="2" width="20" style="11" hidden="1" customWidth="1"/>
    <col min="3" max="3" width="10.44140625" style="13" hidden="1" customWidth="1"/>
    <col min="4" max="5" width="5.6640625" style="13" hidden="1" customWidth="1"/>
    <col min="6" max="6" width="19.109375" style="112" hidden="1" customWidth="1"/>
    <col min="7" max="7" width="35.6640625" style="192" customWidth="1"/>
    <col min="8" max="8" width="11.5546875" style="192" bestFit="1" customWidth="1"/>
    <col min="9" max="9" width="11.5546875" style="255" bestFit="1" customWidth="1"/>
    <col min="10" max="16384" width="48.33203125" style="192"/>
  </cols>
  <sheetData>
    <row r="1" spans="1:9" s="12" customFormat="1">
      <c r="B1" s="10"/>
      <c r="F1" s="111"/>
      <c r="G1" s="186" t="s">
        <v>156</v>
      </c>
      <c r="H1" s="187"/>
      <c r="I1" s="188" t="s">
        <v>360</v>
      </c>
    </row>
    <row r="2" spans="1:9">
      <c r="G2" s="189">
        <v>605</v>
      </c>
      <c r="H2" s="190"/>
      <c r="I2" s="191">
        <v>248.93</v>
      </c>
    </row>
    <row r="3" spans="1:9" ht="2.1" customHeight="1">
      <c r="G3" s="193"/>
      <c r="H3" s="194"/>
      <c r="I3" s="196"/>
    </row>
    <row r="4" spans="1:9" ht="18.75" customHeight="1">
      <c r="A4" s="109"/>
      <c r="B4" s="109"/>
      <c r="C4" s="109"/>
      <c r="D4" s="109"/>
      <c r="E4" s="109"/>
      <c r="G4" s="197"/>
      <c r="H4" s="358" t="s">
        <v>29</v>
      </c>
      <c r="I4" s="198"/>
    </row>
    <row r="5" spans="1:9">
      <c r="A5" s="109"/>
      <c r="B5" s="109"/>
      <c r="C5" s="109"/>
      <c r="D5" s="267">
        <f>IFERROR(+D7/I2,0)</f>
        <v>2.9349616358012294</v>
      </c>
      <c r="E5" s="109"/>
      <c r="G5" s="199"/>
      <c r="H5" s="200">
        <v>1</v>
      </c>
      <c r="I5" s="201" t="s">
        <v>39</v>
      </c>
    </row>
    <row r="6" spans="1:9" s="204" customFormat="1">
      <c r="A6" s="22" t="s">
        <v>40</v>
      </c>
      <c r="B6" s="22" t="s">
        <v>41</v>
      </c>
      <c r="C6" s="22" t="s">
        <v>42</v>
      </c>
      <c r="D6" s="22" t="s">
        <v>44</v>
      </c>
      <c r="E6" s="22" t="s">
        <v>43</v>
      </c>
      <c r="F6" s="354" t="s">
        <v>157</v>
      </c>
      <c r="G6" s="202" t="s">
        <v>2</v>
      </c>
      <c r="H6" s="203" t="s">
        <v>20</v>
      </c>
      <c r="I6" s="198"/>
    </row>
    <row r="7" spans="1:9">
      <c r="A7" s="344" t="str">
        <f>+'CFDI'!$F$2</f>
        <v>NULJ770313CL7</v>
      </c>
      <c r="B7" s="23" t="str">
        <f>+'CFDI'!$W$2</f>
        <v>NULJ770313HBCXPR06</v>
      </c>
      <c r="C7" s="24" t="str">
        <f>+'CFDI'!$X$2</f>
        <v>21987732472</v>
      </c>
      <c r="D7" s="24">
        <f>+'CFDI'!$AH$2</f>
        <v>730.6</v>
      </c>
      <c r="E7" s="24">
        <f>+'CFDI'!$AG$2</f>
        <v>769.63</v>
      </c>
      <c r="F7" s="355" t="s">
        <v>120</v>
      </c>
      <c r="G7" s="356" t="s">
        <v>674</v>
      </c>
      <c r="H7" s="205">
        <f>SUM(H8:H20)</f>
        <v>0</v>
      </c>
      <c r="I7" s="206">
        <f t="shared" ref="I7" si="0">SUM(I8:I20)</f>
        <v>0</v>
      </c>
    </row>
    <row r="8" spans="1:9">
      <c r="A8" s="118"/>
      <c r="B8" s="353"/>
      <c r="C8" s="120"/>
      <c r="D8" s="120"/>
      <c r="E8" s="120"/>
      <c r="F8" s="113"/>
      <c r="G8" s="207" t="s">
        <v>378</v>
      </c>
      <c r="H8" s="208">
        <f>SUMIF('CFDI'!$R:$R,ingresos!H$5,'CFDI'!AJ:$AJ)</f>
        <v>0</v>
      </c>
      <c r="I8" s="209">
        <f t="shared" ref="I8:I22" si="1">SUM(H8:H8)</f>
        <v>0</v>
      </c>
    </row>
    <row r="9" spans="1:9">
      <c r="A9" s="118"/>
      <c r="B9" s="119"/>
      <c r="C9" s="120"/>
      <c r="D9" s="120"/>
      <c r="E9" s="120"/>
      <c r="F9" s="113"/>
      <c r="G9" s="207" t="s">
        <v>379</v>
      </c>
      <c r="H9" s="208">
        <f>SUMIF('CFDI'!$R:$R,ingresos!H$5,'CFDI'!AL:$AL)</f>
        <v>0</v>
      </c>
      <c r="I9" s="209">
        <f t="shared" si="1"/>
        <v>0</v>
      </c>
    </row>
    <row r="10" spans="1:9">
      <c r="A10" s="118"/>
      <c r="B10" s="119"/>
      <c r="C10" s="120"/>
      <c r="D10" s="120"/>
      <c r="E10" s="120"/>
      <c r="F10" s="113"/>
      <c r="G10" s="348" t="s">
        <v>380</v>
      </c>
      <c r="H10" s="208">
        <f>SUMIF('CFDI'!$R:$R,ingresos!H$5,'CFDI'!AN:$AN)</f>
        <v>0</v>
      </c>
      <c r="I10" s="209">
        <f t="shared" si="1"/>
        <v>0</v>
      </c>
    </row>
    <row r="11" spans="1:9">
      <c r="A11" s="118"/>
      <c r="B11" s="119"/>
      <c r="C11" s="120"/>
      <c r="D11" s="120"/>
      <c r="E11" s="120"/>
      <c r="F11" s="113"/>
      <c r="G11" s="348" t="s">
        <v>381</v>
      </c>
      <c r="H11" s="208">
        <f>SUMIF('CFDI'!$R:$R,ingresos!H$5,'CFDI'!AO:$AO)</f>
        <v>0</v>
      </c>
      <c r="I11" s="209">
        <f t="shared" si="1"/>
        <v>0</v>
      </c>
    </row>
    <row r="12" spans="1:9">
      <c r="A12" s="118"/>
      <c r="B12" s="119"/>
      <c r="C12" s="120"/>
      <c r="D12" s="120"/>
      <c r="E12" s="120"/>
      <c r="F12" s="113"/>
      <c r="G12" s="348" t="s">
        <v>382</v>
      </c>
      <c r="H12" s="208">
        <f>SUMIF('CFDI'!$R:$R,ingresos!H$5,'CFDI'!AP:$AP)</f>
        <v>0</v>
      </c>
      <c r="I12" s="209">
        <f t="shared" si="1"/>
        <v>0</v>
      </c>
    </row>
    <row r="13" spans="1:9">
      <c r="A13" s="110"/>
      <c r="B13" s="117"/>
      <c r="C13" s="110"/>
      <c r="D13" s="110"/>
      <c r="E13" s="110"/>
      <c r="F13" s="114"/>
      <c r="G13" s="349" t="s">
        <v>383</v>
      </c>
      <c r="H13" s="211">
        <f>SUMIF('CFDI'!$R:$R,ingresos!H$5,'CFDI'!AQ:$AQ)</f>
        <v>0</v>
      </c>
      <c r="I13" s="212">
        <f t="shared" si="1"/>
        <v>0</v>
      </c>
    </row>
    <row r="14" spans="1:9">
      <c r="A14" s="110"/>
      <c r="B14" s="117"/>
      <c r="C14" s="110"/>
      <c r="D14" s="110"/>
      <c r="E14" s="110"/>
      <c r="F14" s="114"/>
      <c r="G14" s="210" t="s">
        <v>384</v>
      </c>
      <c r="H14" s="211">
        <f>SUMIF('CFDI'!$R:$R,ingresos!H$5,'CFDI'!AU:$AU)</f>
        <v>0</v>
      </c>
      <c r="I14" s="212">
        <f t="shared" si="1"/>
        <v>0</v>
      </c>
    </row>
    <row r="15" spans="1:9">
      <c r="A15" s="110"/>
      <c r="B15" s="117"/>
      <c r="C15" s="110"/>
      <c r="D15" s="110"/>
      <c r="E15" s="110"/>
      <c r="F15" s="114"/>
      <c r="G15" s="210" t="s">
        <v>386</v>
      </c>
      <c r="H15" s="211">
        <f>SUMIF('CFDI'!$R:$R,ingresos!H$5,'CFDI'!AV:$AV)</f>
        <v>0</v>
      </c>
      <c r="I15" s="212">
        <f t="shared" si="1"/>
        <v>0</v>
      </c>
    </row>
    <row r="16" spans="1:9">
      <c r="A16" s="110"/>
      <c r="B16" s="117"/>
      <c r="C16" s="110"/>
      <c r="D16" s="110"/>
      <c r="E16" s="110"/>
      <c r="F16" s="114"/>
      <c r="G16" s="210" t="s">
        <v>385</v>
      </c>
      <c r="H16" s="211">
        <f>SUMIF('CFDI'!$R:$R,ingresos!H$5,'CFDI'!AW:$AW)</f>
        <v>0</v>
      </c>
      <c r="I16" s="212">
        <f t="shared" si="1"/>
        <v>0</v>
      </c>
    </row>
    <row r="17" spans="1:9">
      <c r="A17" s="110"/>
      <c r="B17" s="117"/>
      <c r="C17" s="110"/>
      <c r="D17" s="110"/>
      <c r="E17" s="110"/>
      <c r="F17" s="114"/>
      <c r="G17" s="359" t="s">
        <v>387</v>
      </c>
      <c r="H17" s="360">
        <f>SUMIF('CFDI'!$R:$R,ingresos!H$5,'CFDI'!AX:$AX)</f>
        <v>0</v>
      </c>
      <c r="I17" s="361">
        <f t="shared" si="1"/>
        <v>0</v>
      </c>
    </row>
    <row r="18" spans="1:9">
      <c r="A18" s="110"/>
      <c r="B18" s="117"/>
      <c r="C18" s="110"/>
      <c r="D18" s="110"/>
      <c r="E18" s="110"/>
      <c r="F18" s="114"/>
      <c r="G18" s="210" t="s">
        <v>388</v>
      </c>
      <c r="H18" s="211">
        <f>SUMIF('CFDI'!$R:$R,ingresos!H$5,'CFDI'!BB:$BB)</f>
        <v>0</v>
      </c>
      <c r="I18" s="212">
        <f t="shared" si="1"/>
        <v>0</v>
      </c>
    </row>
    <row r="19" spans="1:9">
      <c r="A19" s="110"/>
      <c r="B19" s="117"/>
      <c r="C19" s="110"/>
      <c r="D19" s="110"/>
      <c r="E19" s="110"/>
      <c r="F19" s="114"/>
      <c r="G19" s="349" t="s">
        <v>389</v>
      </c>
      <c r="H19" s="211">
        <f>SUMIF('CFDI'!$R:$R,ingresos!H$5,'CFDI'!BD:$BD)</f>
        <v>0</v>
      </c>
      <c r="I19" s="212">
        <f t="shared" si="1"/>
        <v>0</v>
      </c>
    </row>
    <row r="20" spans="1:9">
      <c r="A20" s="110"/>
      <c r="B20" s="117"/>
      <c r="C20" s="110"/>
      <c r="D20" s="110"/>
      <c r="E20" s="110"/>
      <c r="F20" s="114"/>
      <c r="G20" s="349" t="s">
        <v>390</v>
      </c>
      <c r="H20" s="211">
        <f>SUMIF('CFDI'!$R:$R,ingresos!H$5,'CFDI'!BE:$BE)</f>
        <v>0</v>
      </c>
      <c r="I20" s="212">
        <f t="shared" si="1"/>
        <v>0</v>
      </c>
    </row>
    <row r="21" spans="1:9">
      <c r="G21" s="210" t="s">
        <v>391</v>
      </c>
      <c r="H21" s="211">
        <f>SUMIF('CFDI'!$R:$R,ingresos!H$5,'CFDI'!BF:$BF)</f>
        <v>0</v>
      </c>
      <c r="I21" s="212">
        <f t="shared" si="1"/>
        <v>0</v>
      </c>
    </row>
    <row r="22" spans="1:9" s="215" customFormat="1">
      <c r="A22" s="12"/>
      <c r="B22" s="10"/>
      <c r="C22" s="12"/>
      <c r="D22" s="12"/>
      <c r="E22" s="12"/>
      <c r="F22" s="111"/>
      <c r="G22" s="213" t="s">
        <v>28</v>
      </c>
      <c r="H22" s="214">
        <f>+H7</f>
        <v>0</v>
      </c>
      <c r="I22" s="214">
        <f t="shared" si="1"/>
        <v>0</v>
      </c>
    </row>
    <row r="23" spans="1:9" s="215" customFormat="1">
      <c r="A23" s="12"/>
      <c r="B23" s="10"/>
      <c r="C23" s="12"/>
      <c r="D23" s="12"/>
      <c r="E23" s="12"/>
      <c r="F23" s="111"/>
      <c r="G23" s="356" t="str">
        <f>+G7</f>
        <v>CFDIOLA PONCE GARCIA</v>
      </c>
      <c r="H23" s="216">
        <f>SUM(H24:H27)</f>
        <v>0</v>
      </c>
      <c r="I23" s="206">
        <f t="shared" ref="I23" si="2">SUM(I24:I27)</f>
        <v>0</v>
      </c>
    </row>
    <row r="24" spans="1:9" s="220" customFormat="1">
      <c r="A24" s="18"/>
      <c r="B24" s="19"/>
      <c r="C24" s="18"/>
      <c r="D24" s="18"/>
      <c r="E24" s="18"/>
      <c r="F24" s="112"/>
      <c r="G24" s="217" t="s">
        <v>158</v>
      </c>
      <c r="H24" s="218">
        <f>SUMIF('CFDI'!$R:$R,ingresos!H$5,'CFDI'!BU:$BU)</f>
        <v>0</v>
      </c>
      <c r="I24" s="219">
        <f t="shared" ref="I24:I29" si="3">SUM(H24:H24)</f>
        <v>0</v>
      </c>
    </row>
    <row r="25" spans="1:9" s="220" customFormat="1">
      <c r="A25" s="18"/>
      <c r="B25" s="19"/>
      <c r="C25" s="18"/>
      <c r="D25" s="18"/>
      <c r="E25" s="18"/>
      <c r="F25" s="112"/>
      <c r="G25" s="270" t="s">
        <v>392</v>
      </c>
      <c r="H25" s="271">
        <f>SUMIF('CFDI'!$R:$R,ingresos!H$5,'CFDI'!BQ:$BQ)</f>
        <v>0</v>
      </c>
      <c r="I25" s="272">
        <f t="shared" si="3"/>
        <v>0</v>
      </c>
    </row>
    <row r="26" spans="1:9" s="223" customFormat="1">
      <c r="A26" s="20"/>
      <c r="B26" s="21"/>
      <c r="C26" s="20"/>
      <c r="D26" s="20"/>
      <c r="E26" s="20"/>
      <c r="F26" s="111"/>
      <c r="G26" s="350" t="s">
        <v>159</v>
      </c>
      <c r="H26" s="346">
        <f>SUMIF('CFDI'!$R:$R,ingresos!H$5,'CFDI'!BP:$BP)</f>
        <v>0</v>
      </c>
      <c r="I26" s="272">
        <f t="shared" si="3"/>
        <v>0</v>
      </c>
    </row>
    <row r="27" spans="1:9" s="223" customFormat="1">
      <c r="A27" s="20"/>
      <c r="B27" s="21"/>
      <c r="C27" s="20"/>
      <c r="D27" s="20"/>
      <c r="E27" s="20"/>
      <c r="F27" s="111"/>
      <c r="G27" s="221" t="s">
        <v>160</v>
      </c>
      <c r="H27" s="222">
        <f>SUMIF('CFDI'!$R:$R,ingresos!H$5,'CFDI'!BX:$BX)</f>
        <v>0</v>
      </c>
      <c r="I27" s="219">
        <f t="shared" si="3"/>
        <v>0</v>
      </c>
    </row>
    <row r="28" spans="1:9" s="223" customFormat="1">
      <c r="A28" s="20"/>
      <c r="B28" s="21"/>
      <c r="C28" s="20"/>
      <c r="D28" s="20"/>
      <c r="E28" s="20"/>
      <c r="F28" s="111"/>
      <c r="G28" s="217" t="s">
        <v>393</v>
      </c>
      <c r="H28" s="218">
        <f>+H29-H23</f>
        <v>0</v>
      </c>
      <c r="I28" s="219">
        <f t="shared" si="3"/>
        <v>0</v>
      </c>
    </row>
    <row r="29" spans="1:9" s="220" customFormat="1">
      <c r="A29" s="18"/>
      <c r="B29" s="19"/>
      <c r="C29" s="18"/>
      <c r="D29" s="18"/>
      <c r="E29" s="18"/>
      <c r="F29" s="112"/>
      <c r="G29" s="217" t="s">
        <v>99</v>
      </c>
      <c r="H29" s="218">
        <f>SUMIF('CFDI'!$R:$R,ingresos!H$5,'CFDI'!CA:$CA)</f>
        <v>0</v>
      </c>
      <c r="I29" s="219">
        <f t="shared" si="3"/>
        <v>0</v>
      </c>
    </row>
    <row r="30" spans="1:9" s="215" customFormat="1">
      <c r="A30" s="12"/>
      <c r="B30" s="10"/>
      <c r="C30" s="12"/>
      <c r="D30" s="12"/>
      <c r="E30" s="12"/>
      <c r="F30" s="111"/>
      <c r="G30" s="213" t="s">
        <v>3</v>
      </c>
      <c r="H30" s="214">
        <f>SUM(H24:H28)</f>
        <v>0</v>
      </c>
      <c r="I30" s="214">
        <f t="shared" ref="I30" si="4">SUM(I24:I28)</f>
        <v>0</v>
      </c>
    </row>
    <row r="31" spans="1:9" s="215" customFormat="1">
      <c r="A31" s="12"/>
      <c r="B31" s="10"/>
      <c r="C31" s="12"/>
      <c r="D31" s="12"/>
      <c r="E31" s="12"/>
      <c r="F31" s="111"/>
      <c r="G31" s="193"/>
      <c r="H31" s="224"/>
      <c r="I31" s="196"/>
    </row>
    <row r="32" spans="1:9" s="227" customFormat="1" ht="39.9" customHeight="1">
      <c r="A32" s="12"/>
      <c r="B32" s="12"/>
      <c r="C32" s="12"/>
      <c r="D32" s="12"/>
      <c r="E32" s="12"/>
      <c r="F32" s="111"/>
      <c r="G32" s="225" t="s">
        <v>359</v>
      </c>
      <c r="H32" s="226">
        <f t="shared" ref="H32" si="5">+H$22-H$30</f>
        <v>0</v>
      </c>
      <c r="I32" s="226">
        <f>SUM(H32:H32)</f>
        <v>0</v>
      </c>
    </row>
    <row r="33" spans="1:9" s="215" customFormat="1" ht="18.75" customHeight="1">
      <c r="A33" s="12"/>
      <c r="B33" s="10"/>
      <c r="C33" s="12"/>
      <c r="D33" s="12"/>
      <c r="E33" s="12"/>
      <c r="F33" s="111"/>
      <c r="G33" s="357" t="str">
        <f>+G23</f>
        <v>CFDIOLA PONCE GARCIA</v>
      </c>
      <c r="H33" s="228">
        <f>+H7-H30</f>
        <v>0</v>
      </c>
      <c r="I33" s="362">
        <f>SUM(H33:H33)</f>
        <v>0</v>
      </c>
    </row>
    <row r="34" spans="1:9" hidden="1">
      <c r="G34" s="229" t="s">
        <v>4</v>
      </c>
      <c r="H34" s="208">
        <f>IFERROR(VLOOKUP(H32,tarifa,1),0)</f>
        <v>0</v>
      </c>
      <c r="I34" s="209"/>
    </row>
    <row r="35" spans="1:9" hidden="1">
      <c r="G35" s="229" t="s">
        <v>4</v>
      </c>
      <c r="H35" s="208">
        <f>IFERROR(VLOOKUP(H34,tarifa,1),0)</f>
        <v>0</v>
      </c>
      <c r="I35" s="209"/>
    </row>
    <row r="36" spans="1:9" s="215" customFormat="1" hidden="1">
      <c r="A36" s="12"/>
      <c r="B36" s="10"/>
      <c r="C36" s="12"/>
      <c r="D36" s="12"/>
      <c r="E36" s="12"/>
      <c r="F36" s="111"/>
      <c r="G36" s="210" t="s">
        <v>5</v>
      </c>
      <c r="H36" s="230">
        <f t="shared" ref="H36" si="6">+H32-H34+H35</f>
        <v>0</v>
      </c>
      <c r="I36" s="212"/>
    </row>
    <row r="37" spans="1:9" hidden="1">
      <c r="G37" s="231" t="s">
        <v>14</v>
      </c>
      <c r="H37" s="225">
        <f>IFERROR(VLOOKUP(H32,tarifa,4),0)</f>
        <v>0</v>
      </c>
      <c r="I37" s="232"/>
    </row>
    <row r="38" spans="1:9" hidden="1">
      <c r="G38" s="233"/>
      <c r="H38" s="234">
        <f>IFERROR(+H37/100,0)</f>
        <v>0</v>
      </c>
      <c r="I38" s="235"/>
    </row>
    <row r="39" spans="1:9" hidden="1">
      <c r="G39" s="229" t="s">
        <v>6</v>
      </c>
      <c r="H39" s="208">
        <f t="shared" ref="H39" si="7">+H36*H38</f>
        <v>0</v>
      </c>
      <c r="I39" s="209"/>
    </row>
    <row r="40" spans="1:9" hidden="1">
      <c r="G40" s="236" t="s">
        <v>7</v>
      </c>
      <c r="H40" s="211">
        <f>IFERROR(VLOOKUP(H32,tarifa,3),0)</f>
        <v>0</v>
      </c>
      <c r="I40" s="212"/>
    </row>
    <row r="41" spans="1:9" hidden="1">
      <c r="G41" s="237" t="s">
        <v>8</v>
      </c>
      <c r="H41" s="238">
        <f>+H39+H40</f>
        <v>0</v>
      </c>
      <c r="I41" s="232">
        <f>SUM(H41:H41)</f>
        <v>0</v>
      </c>
    </row>
    <row r="42" spans="1:9" hidden="1">
      <c r="B42" s="14"/>
      <c r="C42" s="16"/>
      <c r="D42" s="16"/>
      <c r="E42" s="16"/>
      <c r="F42" s="115"/>
      <c r="G42" s="237" t="s">
        <v>32</v>
      </c>
      <c r="H42" s="238"/>
      <c r="I42" s="232">
        <f>SUM(H42:H42)</f>
        <v>0</v>
      </c>
    </row>
    <row r="43" spans="1:9" hidden="1">
      <c r="G43" s="240" t="s">
        <v>15</v>
      </c>
      <c r="H43" s="241">
        <f>+H41-H42</f>
        <v>0</v>
      </c>
      <c r="I43" s="232">
        <f>SUM(H43:H43)</f>
        <v>0</v>
      </c>
    </row>
    <row r="44" spans="1:9" hidden="1">
      <c r="G44" s="242"/>
      <c r="H44" s="243"/>
      <c r="I44" s="196"/>
    </row>
    <row r="45" spans="1:9" s="215" customFormat="1" hidden="1">
      <c r="A45" s="12"/>
      <c r="B45" s="10"/>
      <c r="C45" s="12"/>
      <c r="D45" s="12"/>
      <c r="E45" s="12"/>
      <c r="F45" s="111"/>
      <c r="G45" s="240" t="s">
        <v>38</v>
      </c>
      <c r="H45" s="244">
        <v>0</v>
      </c>
      <c r="I45" s="263">
        <f>SUM(H45:H45)</f>
        <v>0</v>
      </c>
    </row>
    <row r="46" spans="1:9" hidden="1">
      <c r="G46" s="242"/>
      <c r="H46" s="243"/>
      <c r="I46" s="196"/>
    </row>
    <row r="47" spans="1:9" s="215" customFormat="1" hidden="1">
      <c r="A47" s="12"/>
      <c r="B47" s="10"/>
      <c r="C47" s="12"/>
      <c r="D47" s="12"/>
      <c r="E47" s="12"/>
      <c r="F47" s="111"/>
      <c r="G47" s="245" t="s">
        <v>37</v>
      </c>
      <c r="H47" s="246">
        <f>+H$22*1.25%</f>
        <v>0</v>
      </c>
      <c r="I47" s="196">
        <f>SUM(H47:H47)</f>
        <v>0</v>
      </c>
    </row>
    <row r="48" spans="1:9" s="215" customFormat="1">
      <c r="A48" s="12"/>
      <c r="B48" s="10"/>
      <c r="C48" s="12"/>
      <c r="D48" s="12"/>
      <c r="E48" s="12"/>
      <c r="F48" s="111"/>
      <c r="G48" s="245"/>
      <c r="H48" s="195"/>
      <c r="I48" s="196"/>
    </row>
    <row r="49" spans="1:9" s="250" customFormat="1">
      <c r="A49" s="17"/>
      <c r="B49" s="15"/>
      <c r="C49" s="17"/>
      <c r="D49" s="17"/>
      <c r="E49" s="17"/>
      <c r="F49" s="116"/>
      <c r="G49" s="247" t="s">
        <v>36</v>
      </c>
      <c r="H49" s="248">
        <f t="shared" ref="H49" si="8">+H$32*5%</f>
        <v>0</v>
      </c>
      <c r="I49" s="249">
        <f>SUM(H49:H49)</f>
        <v>0</v>
      </c>
    </row>
    <row r="50" spans="1:9">
      <c r="G50" s="242"/>
      <c r="H50" s="251"/>
      <c r="I50" s="196"/>
    </row>
    <row r="51" spans="1:9" s="215" customFormat="1">
      <c r="A51" s="12"/>
      <c r="B51" s="10"/>
      <c r="C51" s="12"/>
      <c r="D51" s="12"/>
      <c r="E51" s="12"/>
      <c r="F51" s="111"/>
      <c r="G51" s="252" t="s">
        <v>161</v>
      </c>
      <c r="H51" s="266">
        <f>SUM(H52:H54)</f>
        <v>0</v>
      </c>
      <c r="I51" s="232"/>
    </row>
    <row r="52" spans="1:9">
      <c r="G52" s="229" t="str">
        <f>+G24</f>
        <v>IMSS</v>
      </c>
      <c r="H52" s="264">
        <f>IFERROR(+H24/H7,0)</f>
        <v>0</v>
      </c>
      <c r="I52" s="209"/>
    </row>
    <row r="53" spans="1:9">
      <c r="G53" s="229" t="str">
        <f>+G25</f>
        <v>INFONAVIT</v>
      </c>
      <c r="H53" s="264">
        <f>IFERROR(+H25/H7,0)</f>
        <v>0</v>
      </c>
      <c r="I53" s="209"/>
    </row>
    <row r="54" spans="1:9">
      <c r="G54" s="253" t="str">
        <f>+G26</f>
        <v>ISPT</v>
      </c>
      <c r="H54" s="265">
        <f>IFERROR(+H26/H7,0)</f>
        <v>0</v>
      </c>
      <c r="I54" s="254"/>
    </row>
  </sheetData>
  <pageMargins left="0.25" right="0.25" top="0.75" bottom="0.75" header="0.3" footer="0.3"/>
  <pageSetup paperSize="5" fitToWidth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B988-214A-4F46-9C7F-4ED1D7DCA03A}">
  <sheetPr codeName="Hoja5">
    <tabColor rgb="FF66FF33"/>
    <pageSetUpPr fitToPage="1"/>
  </sheetPr>
  <dimension ref="A2:F97"/>
  <sheetViews>
    <sheetView showGridLines="0" workbookViewId="0">
      <pane ySplit="3" topLeftCell="A85" activePane="bottomLeft" state="frozen"/>
      <selection pane="bottomLeft" activeCell="D89" sqref="D89"/>
    </sheetView>
  </sheetViews>
  <sheetFormatPr baseColWidth="10" defaultColWidth="11.44140625" defaultRowHeight="12"/>
  <cols>
    <col min="1" max="1" width="10.5546875" style="282" bestFit="1" customWidth="1"/>
    <col min="2" max="2" width="18.6640625" style="285" customWidth="1"/>
    <col min="3" max="3" width="2.6640625" style="282" customWidth="1"/>
    <col min="4" max="4" width="12.6640625" style="285" customWidth="1"/>
    <col min="5" max="5" width="12.6640625" style="332" customWidth="1"/>
    <col min="6" max="6" width="12.6640625" style="285" bestFit="1" customWidth="1"/>
    <col min="7" max="16384" width="11.44140625" style="285"/>
  </cols>
  <sheetData>
    <row r="2" spans="1:5" s="276" customFormat="1" ht="24.9" customHeight="1">
      <c r="A2" s="273"/>
      <c r="B2" s="274" t="s">
        <v>275</v>
      </c>
      <c r="C2" s="275"/>
      <c r="D2" s="378" t="s">
        <v>318</v>
      </c>
      <c r="E2" s="379"/>
    </row>
    <row r="3" spans="1:5" s="276" customFormat="1">
      <c r="A3" s="273"/>
      <c r="B3" s="274" t="s">
        <v>276</v>
      </c>
      <c r="C3" s="388"/>
      <c r="D3" s="274">
        <v>1</v>
      </c>
      <c r="E3" s="238"/>
    </row>
    <row r="4" spans="1:5" s="276" customFormat="1">
      <c r="A4" s="273"/>
      <c r="B4" s="274" t="s">
        <v>277</v>
      </c>
      <c r="C4" s="389"/>
      <c r="D4" s="274" t="s">
        <v>278</v>
      </c>
      <c r="E4" s="238" t="s">
        <v>279</v>
      </c>
    </row>
    <row r="5" spans="1:5" s="276" customFormat="1">
      <c r="A5" s="273"/>
      <c r="B5" s="274" t="s">
        <v>361</v>
      </c>
      <c r="C5" s="390"/>
      <c r="D5" s="277">
        <f>IFERROR(+D45/ingresos!H32*100,0)</f>
        <v>0</v>
      </c>
      <c r="E5" s="238"/>
    </row>
    <row r="6" spans="1:5" s="276" customFormat="1">
      <c r="A6" s="273"/>
      <c r="B6" s="278" t="s">
        <v>315</v>
      </c>
      <c r="C6" s="279"/>
      <c r="D6" s="280"/>
      <c r="E6" s="281"/>
    </row>
    <row r="7" spans="1:5" s="276" customFormat="1">
      <c r="A7" s="273"/>
      <c r="B7" s="278" t="s">
        <v>316</v>
      </c>
      <c r="C7" s="279"/>
      <c r="D7" s="280"/>
      <c r="E7" s="281"/>
    </row>
    <row r="8" spans="1:5">
      <c r="B8" s="283" t="s">
        <v>280</v>
      </c>
      <c r="C8" s="284" t="s">
        <v>114</v>
      </c>
      <c r="D8" s="170">
        <v>885</v>
      </c>
      <c r="E8" s="170">
        <f>SUM(D8)</f>
        <v>885</v>
      </c>
    </row>
    <row r="9" spans="1:5">
      <c r="B9" s="283" t="s">
        <v>281</v>
      </c>
      <c r="C9" s="284" t="s">
        <v>116</v>
      </c>
      <c r="D9" s="170">
        <v>368.04</v>
      </c>
      <c r="E9" s="170">
        <f t="shared" ref="E9:E15" si="0">SUM(D9:D9)</f>
        <v>368.04</v>
      </c>
    </row>
    <row r="10" spans="1:5">
      <c r="B10" s="283" t="s">
        <v>289</v>
      </c>
      <c r="C10" s="284" t="s">
        <v>110</v>
      </c>
      <c r="D10" s="170">
        <v>110</v>
      </c>
      <c r="E10" s="170">
        <f t="shared" si="0"/>
        <v>110</v>
      </c>
    </row>
    <row r="11" spans="1:5">
      <c r="B11" s="286" t="s">
        <v>282</v>
      </c>
      <c r="C11" s="287" t="s">
        <v>135</v>
      </c>
      <c r="D11" s="288">
        <f>100*4</f>
        <v>400</v>
      </c>
      <c r="E11" s="170">
        <f t="shared" si="0"/>
        <v>400</v>
      </c>
    </row>
    <row r="12" spans="1:5" ht="11.25" customHeight="1">
      <c r="B12" s="283" t="s">
        <v>307</v>
      </c>
      <c r="C12" s="284" t="s">
        <v>124</v>
      </c>
      <c r="D12" s="170">
        <v>390</v>
      </c>
      <c r="E12" s="170">
        <f t="shared" si="0"/>
        <v>390</v>
      </c>
    </row>
    <row r="13" spans="1:5" ht="11.25" customHeight="1">
      <c r="B13" s="283" t="s">
        <v>293</v>
      </c>
      <c r="C13" s="284"/>
      <c r="D13" s="170">
        <f>50+50+20+50+50</f>
        <v>220</v>
      </c>
      <c r="E13" s="170">
        <f t="shared" si="0"/>
        <v>220</v>
      </c>
    </row>
    <row r="14" spans="1:5" ht="12" customHeight="1">
      <c r="B14" s="283" t="s">
        <v>288</v>
      </c>
      <c r="C14" s="284"/>
      <c r="D14" s="170">
        <v>0</v>
      </c>
      <c r="E14" s="170">
        <f t="shared" si="0"/>
        <v>0</v>
      </c>
    </row>
    <row r="15" spans="1:5">
      <c r="B15" s="283" t="s">
        <v>309</v>
      </c>
      <c r="C15" s="284"/>
      <c r="D15" s="170">
        <v>0</v>
      </c>
      <c r="E15" s="170">
        <f t="shared" si="0"/>
        <v>0</v>
      </c>
    </row>
    <row r="16" spans="1:5" s="276" customFormat="1">
      <c r="A16" s="273"/>
      <c r="B16" s="289" t="s">
        <v>396</v>
      </c>
      <c r="C16" s="290"/>
      <c r="D16" s="291">
        <f>SUM(D6:D15)</f>
        <v>2373.04</v>
      </c>
      <c r="E16" s="291">
        <f>SUM(E6:E15)</f>
        <v>2373.04</v>
      </c>
    </row>
    <row r="17" spans="1:5" s="293" customFormat="1">
      <c r="A17" s="292" t="s">
        <v>283</v>
      </c>
      <c r="B17" s="375" t="s">
        <v>283</v>
      </c>
      <c r="C17" s="376"/>
      <c r="D17" s="376"/>
      <c r="E17" s="377"/>
    </row>
    <row r="18" spans="1:5" s="276" customFormat="1">
      <c r="A18" s="273"/>
      <c r="B18" s="294" t="s">
        <v>324</v>
      </c>
      <c r="C18" s="295"/>
      <c r="D18" s="296">
        <f>SUM(D19:D25)</f>
        <v>6433.21</v>
      </c>
      <c r="E18" s="296">
        <f t="shared" ref="E18:E25" si="1">SUM(D18:D18)</f>
        <v>6433.21</v>
      </c>
    </row>
    <row r="19" spans="1:5">
      <c r="B19" s="283" t="s">
        <v>181</v>
      </c>
      <c r="C19" s="284" t="s">
        <v>126</v>
      </c>
      <c r="D19" s="170">
        <v>529.04</v>
      </c>
      <c r="E19" s="170">
        <f t="shared" si="1"/>
        <v>529.04</v>
      </c>
    </row>
    <row r="20" spans="1:5">
      <c r="B20" s="283" t="s">
        <v>181</v>
      </c>
      <c r="C20" s="284" t="s">
        <v>133</v>
      </c>
      <c r="D20" s="170">
        <v>376.66</v>
      </c>
      <c r="E20" s="170">
        <f t="shared" si="1"/>
        <v>376.66</v>
      </c>
    </row>
    <row r="21" spans="1:5">
      <c r="B21" s="283" t="s">
        <v>181</v>
      </c>
      <c r="C21" s="284" t="s">
        <v>131</v>
      </c>
      <c r="D21" s="170">
        <v>2029.88</v>
      </c>
      <c r="E21" s="170">
        <f t="shared" si="1"/>
        <v>2029.88</v>
      </c>
    </row>
    <row r="22" spans="1:5">
      <c r="B22" s="283" t="s">
        <v>181</v>
      </c>
      <c r="C22" s="284" t="s">
        <v>129</v>
      </c>
      <c r="D22" s="170">
        <v>2186.71</v>
      </c>
      <c r="E22" s="170">
        <f t="shared" si="1"/>
        <v>2186.71</v>
      </c>
    </row>
    <row r="23" spans="1:5">
      <c r="B23" s="283" t="s">
        <v>181</v>
      </c>
      <c r="C23" s="284" t="s">
        <v>128</v>
      </c>
      <c r="D23" s="170">
        <v>530.63</v>
      </c>
      <c r="E23" s="170">
        <f t="shared" si="1"/>
        <v>530.63</v>
      </c>
    </row>
    <row r="24" spans="1:5">
      <c r="B24" s="283" t="s">
        <v>181</v>
      </c>
      <c r="C24" s="284" t="s">
        <v>125</v>
      </c>
      <c r="D24" s="170">
        <v>349.57</v>
      </c>
      <c r="E24" s="170">
        <f t="shared" si="1"/>
        <v>349.57</v>
      </c>
    </row>
    <row r="25" spans="1:5">
      <c r="B25" s="283" t="s">
        <v>181</v>
      </c>
      <c r="C25" s="284" t="s">
        <v>113</v>
      </c>
      <c r="D25" s="170">
        <v>430.72</v>
      </c>
      <c r="E25" s="170">
        <f t="shared" si="1"/>
        <v>430.72</v>
      </c>
    </row>
    <row r="26" spans="1:5">
      <c r="B26" s="283" t="s">
        <v>181</v>
      </c>
      <c r="C26" s="284"/>
      <c r="D26" s="170"/>
      <c r="E26" s="170"/>
    </row>
    <row r="27" spans="1:5">
      <c r="B27" s="283" t="s">
        <v>181</v>
      </c>
      <c r="C27" s="284"/>
      <c r="D27" s="170"/>
      <c r="E27" s="170"/>
    </row>
    <row r="28" spans="1:5">
      <c r="B28" s="283" t="s">
        <v>304</v>
      </c>
      <c r="C28" s="284" t="s">
        <v>128</v>
      </c>
      <c r="D28" s="170">
        <v>167.86</v>
      </c>
      <c r="E28" s="170">
        <f>SUM(D28:D28)</f>
        <v>167.86</v>
      </c>
    </row>
    <row r="29" spans="1:5">
      <c r="B29" s="283" t="s">
        <v>426</v>
      </c>
      <c r="C29" s="284"/>
      <c r="D29" s="170"/>
      <c r="E29" s="170">
        <f>SUM(D29:D29)</f>
        <v>0</v>
      </c>
    </row>
    <row r="30" spans="1:5">
      <c r="B30" s="283" t="s">
        <v>300</v>
      </c>
      <c r="C30" s="284"/>
      <c r="D30" s="170"/>
      <c r="E30" s="170"/>
    </row>
    <row r="31" spans="1:5">
      <c r="B31" s="283" t="s">
        <v>290</v>
      </c>
      <c r="C31" s="284"/>
      <c r="D31" s="170"/>
      <c r="E31" s="170">
        <f>SUM(D31:D31)</f>
        <v>0</v>
      </c>
    </row>
    <row r="32" spans="1:5">
      <c r="B32" s="283" t="s">
        <v>311</v>
      </c>
      <c r="C32" s="284"/>
      <c r="D32" s="170"/>
      <c r="E32" s="170">
        <f>SUM(D32:D32)</f>
        <v>0</v>
      </c>
    </row>
    <row r="33" spans="1:5">
      <c r="B33" s="283" t="s">
        <v>321</v>
      </c>
      <c r="C33" s="284"/>
      <c r="D33" s="170"/>
      <c r="E33" s="170"/>
    </row>
    <row r="34" spans="1:5">
      <c r="B34" s="283" t="s">
        <v>413</v>
      </c>
      <c r="C34" s="284"/>
      <c r="D34" s="170"/>
      <c r="E34" s="170">
        <f>SUM(D34:D34)</f>
        <v>0</v>
      </c>
    </row>
    <row r="35" spans="1:5" s="276" customFormat="1">
      <c r="A35" s="273"/>
      <c r="B35" s="289" t="s">
        <v>397</v>
      </c>
      <c r="C35" s="290"/>
      <c r="D35" s="291">
        <f>SUM(D19:D34)</f>
        <v>6601.07</v>
      </c>
      <c r="E35" s="291">
        <f t="shared" ref="E35" si="2">SUM(E18:E34)</f>
        <v>13034.279999999999</v>
      </c>
    </row>
    <row r="36" spans="1:5">
      <c r="A36" s="282" t="s">
        <v>407</v>
      </c>
      <c r="B36" s="375" t="s">
        <v>284</v>
      </c>
      <c r="C36" s="376"/>
      <c r="D36" s="376"/>
      <c r="E36" s="377"/>
    </row>
    <row r="37" spans="1:5">
      <c r="B37" s="283" t="s">
        <v>424</v>
      </c>
      <c r="C37" s="284" t="s">
        <v>135</v>
      </c>
      <c r="D37" s="170">
        <f>18*4*2*4</f>
        <v>576</v>
      </c>
      <c r="E37" s="170">
        <f>SUM(D37:D37)</f>
        <v>576</v>
      </c>
    </row>
    <row r="38" spans="1:5">
      <c r="B38" s="283" t="s">
        <v>425</v>
      </c>
      <c r="C38" s="284" t="s">
        <v>135</v>
      </c>
      <c r="D38" s="170">
        <f>45*2*5</f>
        <v>450</v>
      </c>
      <c r="E38" s="170">
        <f>SUM(D38:D38)</f>
        <v>450</v>
      </c>
    </row>
    <row r="39" spans="1:5" s="276" customFormat="1">
      <c r="A39" s="273"/>
      <c r="B39" s="289" t="s">
        <v>398</v>
      </c>
      <c r="C39" s="290"/>
      <c r="D39" s="291">
        <f>SUM(D37:D38)</f>
        <v>1026</v>
      </c>
      <c r="E39" s="291">
        <f t="shared" ref="E39" si="3">SUM(E37:E38)</f>
        <v>1026</v>
      </c>
    </row>
    <row r="40" spans="1:5" s="297" customFormat="1" ht="24.9" customHeight="1">
      <c r="B40" s="391" t="s">
        <v>394</v>
      </c>
      <c r="C40" s="391"/>
      <c r="D40" s="391"/>
      <c r="E40" s="391"/>
    </row>
    <row r="41" spans="1:5" s="301" customFormat="1">
      <c r="A41" s="298" t="s">
        <v>309</v>
      </c>
      <c r="B41" s="278" t="s">
        <v>411</v>
      </c>
      <c r="C41" s="279"/>
      <c r="D41" s="299"/>
      <c r="E41" s="300"/>
    </row>
    <row r="42" spans="1:5" s="301" customFormat="1">
      <c r="A42" s="298"/>
      <c r="B42" s="278" t="s">
        <v>410</v>
      </c>
      <c r="C42" s="279"/>
      <c r="D42" s="299"/>
      <c r="E42" s="300"/>
    </row>
    <row r="43" spans="1:5" s="301" customFormat="1">
      <c r="A43" s="298"/>
      <c r="B43" s="278" t="s">
        <v>395</v>
      </c>
      <c r="C43" s="279"/>
      <c r="D43" s="299"/>
      <c r="E43" s="300"/>
    </row>
    <row r="44" spans="1:5" s="301" customFormat="1">
      <c r="A44" s="298"/>
      <c r="B44" s="302" t="s">
        <v>399</v>
      </c>
      <c r="C44" s="303"/>
      <c r="D44" s="304">
        <f>SUM(D41:D43)</f>
        <v>0</v>
      </c>
      <c r="E44" s="305">
        <f>SUM(D44:D44)</f>
        <v>0</v>
      </c>
    </row>
    <row r="45" spans="1:5" s="301" customFormat="1" ht="34.5" customHeight="1">
      <c r="A45" s="298"/>
      <c r="B45" s="368" t="s">
        <v>319</v>
      </c>
      <c r="C45" s="365"/>
      <c r="D45" s="366">
        <f>+D16+D35+D39+D44</f>
        <v>10000.11</v>
      </c>
      <c r="E45" s="367">
        <f>SUM(D45:D45)</f>
        <v>10000.11</v>
      </c>
    </row>
    <row r="46" spans="1:5" ht="20.100000000000001" customHeight="1">
      <c r="B46" s="363" t="s">
        <v>285</v>
      </c>
      <c r="C46" s="364"/>
      <c r="D46" s="380" t="s">
        <v>358</v>
      </c>
      <c r="E46" s="381"/>
    </row>
    <row r="47" spans="1:5" ht="20.100000000000001" customHeight="1">
      <c r="B47" s="274" t="s">
        <v>361</v>
      </c>
      <c r="C47" s="306"/>
      <c r="D47" s="307">
        <f>IFERROR(+D75/ingresos!H32,0)</f>
        <v>0</v>
      </c>
      <c r="E47" s="238"/>
    </row>
    <row r="48" spans="1:5" ht="20.100000000000001" customHeight="1">
      <c r="A48" s="282" t="s">
        <v>400</v>
      </c>
      <c r="B48" s="375" t="s">
        <v>400</v>
      </c>
      <c r="C48" s="376"/>
      <c r="D48" s="376"/>
      <c r="E48" s="377"/>
    </row>
    <row r="49" spans="1:5">
      <c r="B49" s="283" t="s">
        <v>322</v>
      </c>
      <c r="C49" s="284"/>
      <c r="D49" s="170">
        <f>99+254</f>
        <v>353</v>
      </c>
      <c r="E49" s="170"/>
    </row>
    <row r="50" spans="1:5">
      <c r="B50" s="283" t="s">
        <v>313</v>
      </c>
      <c r="C50" s="284"/>
      <c r="D50" s="170"/>
      <c r="E50" s="170"/>
    </row>
    <row r="51" spans="1:5">
      <c r="B51" s="283" t="s">
        <v>323</v>
      </c>
      <c r="C51" s="284" t="s">
        <v>110</v>
      </c>
      <c r="D51" s="170">
        <v>99</v>
      </c>
      <c r="E51" s="170"/>
    </row>
    <row r="52" spans="1:5">
      <c r="B52" s="283" t="s">
        <v>310</v>
      </c>
      <c r="C52" s="284"/>
      <c r="D52" s="170"/>
      <c r="E52" s="170"/>
    </row>
    <row r="53" spans="1:5">
      <c r="B53" s="283"/>
      <c r="C53" s="284"/>
      <c r="D53" s="170"/>
      <c r="E53" s="170"/>
    </row>
    <row r="54" spans="1:5">
      <c r="B54" s="283" t="s">
        <v>314</v>
      </c>
      <c r="C54" s="284"/>
      <c r="D54" s="170"/>
      <c r="E54" s="170"/>
    </row>
    <row r="55" spans="1:5">
      <c r="B55" s="283" t="s">
        <v>294</v>
      </c>
      <c r="C55" s="284"/>
      <c r="D55" s="170"/>
      <c r="E55" s="170"/>
    </row>
    <row r="56" spans="1:5" s="276" customFormat="1">
      <c r="A56" s="273"/>
      <c r="B56" s="289" t="s">
        <v>401</v>
      </c>
      <c r="C56" s="290"/>
      <c r="D56" s="291">
        <f>SUM(D49:D55)</f>
        <v>452</v>
      </c>
      <c r="E56" s="291">
        <f t="shared" ref="E56" si="4">SUM(E49:E55)</f>
        <v>0</v>
      </c>
    </row>
    <row r="57" spans="1:5" s="215" customFormat="1">
      <c r="A57" s="308" t="s">
        <v>408</v>
      </c>
      <c r="B57" s="375" t="s">
        <v>301</v>
      </c>
      <c r="C57" s="376"/>
      <c r="D57" s="376"/>
      <c r="E57" s="377"/>
    </row>
    <row r="58" spans="1:5" s="215" customFormat="1">
      <c r="A58" s="308"/>
      <c r="B58" s="252" t="s">
        <v>300</v>
      </c>
      <c r="C58" s="309"/>
      <c r="D58" s="310">
        <f>215+32+65</f>
        <v>312</v>
      </c>
      <c r="E58" s="310"/>
    </row>
    <row r="59" spans="1:5" s="215" customFormat="1">
      <c r="A59" s="308"/>
      <c r="B59" s="252" t="s">
        <v>302</v>
      </c>
      <c r="C59" s="309" t="s">
        <v>110</v>
      </c>
      <c r="D59" s="310">
        <v>79.3</v>
      </c>
      <c r="E59" s="310"/>
    </row>
    <row r="60" spans="1:5" s="215" customFormat="1">
      <c r="A60" s="308"/>
      <c r="B60" s="252" t="s">
        <v>310</v>
      </c>
      <c r="C60" s="309"/>
      <c r="D60" s="310"/>
      <c r="E60" s="310"/>
    </row>
    <row r="61" spans="1:5" s="215" customFormat="1">
      <c r="A61" s="308"/>
      <c r="B61" s="252" t="s">
        <v>303</v>
      </c>
      <c r="C61" s="309" t="s">
        <v>115</v>
      </c>
      <c r="D61" s="310">
        <f>125+125</f>
        <v>250</v>
      </c>
      <c r="E61" s="310"/>
    </row>
    <row r="62" spans="1:5" s="215" customFormat="1">
      <c r="A62" s="308"/>
      <c r="B62" s="252" t="s">
        <v>419</v>
      </c>
      <c r="C62" s="309" t="s">
        <v>130</v>
      </c>
      <c r="D62" s="310">
        <v>139</v>
      </c>
      <c r="E62" s="310"/>
    </row>
    <row r="63" spans="1:5" s="215" customFormat="1">
      <c r="A63" s="308"/>
      <c r="B63" s="252" t="s">
        <v>308</v>
      </c>
      <c r="C63" s="309" t="s">
        <v>113</v>
      </c>
      <c r="D63" s="310">
        <v>93</v>
      </c>
      <c r="E63" s="310"/>
    </row>
    <row r="64" spans="1:5" s="215" customFormat="1">
      <c r="A64" s="308"/>
      <c r="B64" s="252" t="s">
        <v>412</v>
      </c>
      <c r="C64" s="309"/>
      <c r="D64" s="310"/>
      <c r="E64" s="310"/>
    </row>
    <row r="65" spans="1:6" s="215" customFormat="1">
      <c r="A65" s="308"/>
      <c r="B65" s="252" t="s">
        <v>312</v>
      </c>
      <c r="C65" s="309"/>
      <c r="D65" s="310"/>
      <c r="E65" s="310"/>
    </row>
    <row r="66" spans="1:6" s="215" customFormat="1">
      <c r="A66" s="308"/>
      <c r="B66" s="252" t="s">
        <v>427</v>
      </c>
      <c r="C66" s="309"/>
      <c r="D66" s="310"/>
      <c r="E66" s="310"/>
    </row>
    <row r="67" spans="1:6" s="215" customFormat="1">
      <c r="A67" s="308"/>
      <c r="B67" s="252" t="s">
        <v>305</v>
      </c>
      <c r="C67" s="309" t="s">
        <v>130</v>
      </c>
      <c r="D67" s="310">
        <v>188</v>
      </c>
      <c r="E67" s="310"/>
    </row>
    <row r="68" spans="1:6" s="215" customFormat="1">
      <c r="A68" s="308"/>
      <c r="B68" s="289" t="s">
        <v>402</v>
      </c>
      <c r="C68" s="290"/>
      <c r="D68" s="291">
        <f>SUM(D58:D67)</f>
        <v>1061.3</v>
      </c>
      <c r="E68" s="291"/>
    </row>
    <row r="69" spans="1:6" ht="12" customHeight="1">
      <c r="A69" s="282" t="s">
        <v>295</v>
      </c>
      <c r="B69" s="375" t="s">
        <v>295</v>
      </c>
      <c r="C69" s="376"/>
      <c r="D69" s="376"/>
      <c r="E69" s="377"/>
    </row>
    <row r="70" spans="1:6" s="276" customFormat="1" ht="12" customHeight="1">
      <c r="A70" s="273"/>
      <c r="B70" s="311" t="s">
        <v>420</v>
      </c>
      <c r="C70" s="312"/>
      <c r="D70" s="313"/>
      <c r="E70" s="313"/>
    </row>
    <row r="71" spans="1:6" s="276" customFormat="1" ht="12" customHeight="1">
      <c r="A71" s="273"/>
      <c r="B71" s="311" t="s">
        <v>422</v>
      </c>
      <c r="C71" s="312"/>
      <c r="D71" s="313"/>
      <c r="E71" s="313"/>
    </row>
    <row r="72" spans="1:6" s="276" customFormat="1">
      <c r="A72" s="273"/>
      <c r="B72" s="314" t="s">
        <v>423</v>
      </c>
      <c r="C72" s="315"/>
      <c r="D72" s="296"/>
      <c r="E72" s="296"/>
    </row>
    <row r="73" spans="1:6" s="276" customFormat="1">
      <c r="A73" s="273"/>
      <c r="B73" s="314" t="s">
        <v>421</v>
      </c>
      <c r="C73" s="315"/>
      <c r="D73" s="296"/>
      <c r="E73" s="296"/>
    </row>
    <row r="74" spans="1:6" s="276" customFormat="1">
      <c r="A74" s="273"/>
      <c r="B74" s="289" t="s">
        <v>403</v>
      </c>
      <c r="C74" s="290"/>
      <c r="D74" s="291">
        <f>SUM(D70:D73)</f>
        <v>0</v>
      </c>
      <c r="E74" s="291">
        <f>SUM(E70:E73)</f>
        <v>0</v>
      </c>
    </row>
    <row r="75" spans="1:6" s="276" customFormat="1" ht="30" customHeight="1">
      <c r="A75" s="273"/>
      <c r="B75" s="368" t="s">
        <v>320</v>
      </c>
      <c r="C75" s="369"/>
      <c r="D75" s="370">
        <f>+D56+D68+D74</f>
        <v>1513.3</v>
      </c>
      <c r="E75" s="370">
        <f>+E56+E68+E74</f>
        <v>0</v>
      </c>
      <c r="F75" s="317"/>
    </row>
    <row r="76" spans="1:6" s="321" customFormat="1" ht="31.5" customHeight="1">
      <c r="A76" s="318"/>
      <c r="B76" s="371" t="s">
        <v>287</v>
      </c>
      <c r="C76" s="316"/>
      <c r="D76" s="319">
        <f>+D45+D75</f>
        <v>11513.41</v>
      </c>
      <c r="E76" s="319">
        <f>SUM(D76:D76)</f>
        <v>11513.41</v>
      </c>
      <c r="F76" s="320"/>
    </row>
    <row r="77" spans="1:6" s="215" customFormat="1" ht="20.100000000000001" customHeight="1">
      <c r="A77" s="308"/>
      <c r="B77" s="375" t="s">
        <v>326</v>
      </c>
      <c r="C77" s="376"/>
      <c r="D77" s="376"/>
      <c r="E77" s="377"/>
      <c r="F77" s="301"/>
    </row>
    <row r="78" spans="1:6" s="215" customFormat="1" ht="15" customHeight="1">
      <c r="A78" s="308"/>
      <c r="B78" s="343"/>
      <c r="C78" s="343"/>
      <c r="D78" s="307">
        <f>IFERROR(+D89/presupuesto!E7,0)</f>
        <v>0</v>
      </c>
      <c r="E78" s="343"/>
      <c r="F78" s="301"/>
    </row>
    <row r="79" spans="1:6" s="323" customFormat="1">
      <c r="A79" s="273"/>
      <c r="B79" s="274" t="s">
        <v>286</v>
      </c>
      <c r="C79" s="306"/>
      <c r="D79" s="322" t="s">
        <v>278</v>
      </c>
      <c r="E79" s="322"/>
    </row>
    <row r="80" spans="1:6">
      <c r="B80" s="324" t="s">
        <v>415</v>
      </c>
      <c r="C80" s="279"/>
      <c r="D80" s="325">
        <v>0</v>
      </c>
      <c r="E80" s="325">
        <f>SUM(D80:D80)</f>
        <v>0</v>
      </c>
    </row>
    <row r="81" spans="1:5">
      <c r="B81" s="324" t="s">
        <v>415</v>
      </c>
      <c r="C81" s="279"/>
      <c r="D81" s="326">
        <f>SUM(D82:D85)</f>
        <v>3050</v>
      </c>
      <c r="E81" s="325">
        <f>SUM(E82:E88)</f>
        <v>3829</v>
      </c>
    </row>
    <row r="82" spans="1:5">
      <c r="B82" s="324"/>
      <c r="C82" s="279" t="s">
        <v>127</v>
      </c>
      <c r="D82" s="326">
        <v>797</v>
      </c>
      <c r="E82" s="325">
        <f>SUM(D82:D82)</f>
        <v>797</v>
      </c>
    </row>
    <row r="83" spans="1:5">
      <c r="B83" s="324"/>
      <c r="C83" s="279" t="s">
        <v>130</v>
      </c>
      <c r="D83" s="326">
        <v>728</v>
      </c>
      <c r="E83" s="325">
        <f>SUM(D83:D83)</f>
        <v>728</v>
      </c>
    </row>
    <row r="84" spans="1:5">
      <c r="B84" s="324"/>
      <c r="C84" s="279" t="s">
        <v>132</v>
      </c>
      <c r="D84" s="326">
        <v>728</v>
      </c>
      <c r="E84" s="325">
        <f>SUM(D84:D84)</f>
        <v>728</v>
      </c>
    </row>
    <row r="85" spans="1:5">
      <c r="B85" s="324"/>
      <c r="C85" s="279" t="s">
        <v>134</v>
      </c>
      <c r="D85" s="326">
        <v>797</v>
      </c>
      <c r="E85" s="325">
        <f>SUM(D85:D85)</f>
        <v>797</v>
      </c>
    </row>
    <row r="86" spans="1:5">
      <c r="B86" s="324" t="s">
        <v>409</v>
      </c>
      <c r="C86" s="279"/>
      <c r="D86" s="326"/>
      <c r="E86" s="325"/>
    </row>
    <row r="87" spans="1:5">
      <c r="B87" s="324" t="s">
        <v>416</v>
      </c>
      <c r="C87" s="279"/>
      <c r="D87" s="326"/>
      <c r="E87" s="325"/>
    </row>
    <row r="88" spans="1:5">
      <c r="B88" s="324" t="s">
        <v>417</v>
      </c>
      <c r="C88" s="279" t="s">
        <v>103</v>
      </c>
      <c r="D88" s="326">
        <v>779</v>
      </c>
      <c r="E88" s="325">
        <f>SUM(D88:D88)</f>
        <v>779</v>
      </c>
    </row>
    <row r="89" spans="1:5" ht="11.25" customHeight="1">
      <c r="B89" s="327" t="s">
        <v>327</v>
      </c>
      <c r="C89" s="303"/>
      <c r="D89" s="328">
        <f>+D81+D87+D88</f>
        <v>3829</v>
      </c>
      <c r="E89" s="328">
        <f t="shared" ref="E89" si="5">SUM(E80:E81)</f>
        <v>3829</v>
      </c>
    </row>
    <row r="90" spans="1:5" s="276" customFormat="1">
      <c r="A90" s="273"/>
      <c r="B90" s="274" t="s">
        <v>298</v>
      </c>
      <c r="C90" s="306"/>
      <c r="D90" s="239">
        <f>SUM(D91)</f>
        <v>0</v>
      </c>
      <c r="E90" s="239">
        <f>SUM(E91)</f>
        <v>0</v>
      </c>
    </row>
    <row r="91" spans="1:5">
      <c r="B91" s="329" t="s">
        <v>418</v>
      </c>
      <c r="C91" s="284"/>
      <c r="D91" s="170">
        <v>0</v>
      </c>
      <c r="E91" s="170"/>
    </row>
    <row r="92" spans="1:5">
      <c r="B92" s="330"/>
      <c r="C92" s="284"/>
      <c r="D92" s="170"/>
      <c r="E92" s="170"/>
    </row>
    <row r="93" spans="1:5" s="276" customFormat="1">
      <c r="A93" s="273"/>
      <c r="B93" s="331" t="s">
        <v>328</v>
      </c>
      <c r="C93" s="290"/>
      <c r="D93" s="291">
        <f>SUM(D91:D92)</f>
        <v>0</v>
      </c>
      <c r="E93" s="291">
        <f t="shared" ref="E93:E94" si="6">+E88+E92</f>
        <v>779</v>
      </c>
    </row>
    <row r="94" spans="1:5" s="276" customFormat="1" ht="31.5" customHeight="1">
      <c r="A94" s="273" t="s">
        <v>414</v>
      </c>
      <c r="B94" s="372" t="s">
        <v>428</v>
      </c>
      <c r="C94" s="373"/>
      <c r="D94" s="374">
        <f>+D89+D93</f>
        <v>3829</v>
      </c>
      <c r="E94" s="374">
        <f t="shared" si="6"/>
        <v>4608</v>
      </c>
    </row>
    <row r="95" spans="1:5">
      <c r="B95" s="382" t="s">
        <v>325</v>
      </c>
      <c r="C95" s="386"/>
      <c r="D95" s="384">
        <f>+D76+D94</f>
        <v>15342.41</v>
      </c>
      <c r="E95" s="384">
        <f t="shared" ref="E95" si="7">+E90+E94</f>
        <v>4608</v>
      </c>
    </row>
    <row r="96" spans="1:5">
      <c r="B96" s="383"/>
      <c r="C96" s="387"/>
      <c r="D96" s="385"/>
      <c r="E96" s="385">
        <f t="shared" ref="E96" si="8">+E91+E95</f>
        <v>4608</v>
      </c>
    </row>
    <row r="97" spans="1:4" s="332" customFormat="1">
      <c r="A97" s="333"/>
      <c r="C97" s="333"/>
      <c r="D97" s="332">
        <f>+D76+D94</f>
        <v>15342.41</v>
      </c>
    </row>
  </sheetData>
  <mergeCells count="14">
    <mergeCell ref="B77:E77"/>
    <mergeCell ref="D2:E2"/>
    <mergeCell ref="D46:E46"/>
    <mergeCell ref="B95:B96"/>
    <mergeCell ref="D95:D96"/>
    <mergeCell ref="E95:E96"/>
    <mergeCell ref="C95:C96"/>
    <mergeCell ref="C3:C5"/>
    <mergeCell ref="B57:E57"/>
    <mergeCell ref="B69:E69"/>
    <mergeCell ref="B17:E17"/>
    <mergeCell ref="B36:E36"/>
    <mergeCell ref="B40:E40"/>
    <mergeCell ref="B48:E48"/>
  </mergeCells>
  <pageMargins left="0.25" right="0.25" top="0.75" bottom="0.75" header="0.3" footer="0.3"/>
  <pageSetup paperSize="3" scale="65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B6DE3-73B2-400E-AC20-F64AB2B146FC}">
  <sheetPr codeName="Hoja6">
    <tabColor rgb="FF00B0F0"/>
    <pageSetUpPr fitToPage="1"/>
  </sheetPr>
  <dimension ref="A1:Y130"/>
  <sheetViews>
    <sheetView showGridLines="0" workbookViewId="0">
      <selection activeCell="K3" sqref="K3:K4"/>
    </sheetView>
  </sheetViews>
  <sheetFormatPr baseColWidth="10" defaultColWidth="10.88671875" defaultRowHeight="13.8"/>
  <cols>
    <col min="1" max="1" width="10.88671875" style="107"/>
    <col min="2" max="2" width="22" style="27" customWidth="1"/>
    <col min="3" max="3" width="16" style="27" customWidth="1"/>
    <col min="4" max="4" width="1.6640625" style="27" customWidth="1"/>
    <col min="5" max="5" width="23.88671875" style="27" bestFit="1" customWidth="1"/>
    <col min="6" max="6" width="8.33203125" style="27" customWidth="1"/>
    <col min="7" max="7" width="17.33203125" style="27" customWidth="1"/>
    <col min="8" max="8" width="1.6640625" style="27" customWidth="1"/>
    <col min="9" max="9" width="15.109375" style="27" customWidth="1"/>
    <col min="10" max="10" width="2.88671875" style="27" customWidth="1"/>
    <col min="11" max="11" width="27.33203125" style="27" customWidth="1"/>
    <col min="12" max="12" width="12.6640625" style="28" bestFit="1" customWidth="1"/>
    <col min="13" max="25" width="10.88671875" style="28"/>
    <col min="26" max="16384" width="10.88671875" style="27"/>
  </cols>
  <sheetData>
    <row r="1" spans="1:25" ht="33.9" customHeight="1"/>
    <row r="2" spans="1:25" ht="68.099999999999994" customHeight="1">
      <c r="B2" s="29"/>
      <c r="C2" s="443" t="s">
        <v>182</v>
      </c>
      <c r="D2" s="443"/>
      <c r="E2" s="443"/>
      <c r="F2" s="443"/>
      <c r="G2" s="443"/>
      <c r="H2" s="30"/>
      <c r="I2" s="444"/>
      <c r="J2" s="444"/>
      <c r="K2" s="444"/>
      <c r="L2" s="27"/>
    </row>
    <row r="3" spans="1:25" ht="21.9" customHeight="1">
      <c r="B3" s="29"/>
      <c r="C3" s="445" t="s">
        <v>183</v>
      </c>
      <c r="D3" s="445"/>
      <c r="E3" s="445"/>
      <c r="F3" s="445"/>
      <c r="G3" s="445"/>
      <c r="H3" s="31"/>
      <c r="I3" s="446" t="s">
        <v>184</v>
      </c>
      <c r="J3" s="32"/>
      <c r="K3" s="446" t="s">
        <v>197</v>
      </c>
      <c r="M3" s="33" t="s">
        <v>186</v>
      </c>
    </row>
    <row r="4" spans="1:25" ht="21" customHeight="1" thickBot="1">
      <c r="B4" s="29"/>
      <c r="C4" s="34"/>
      <c r="D4" s="34"/>
      <c r="E4" s="34"/>
      <c r="F4" s="34"/>
      <c r="G4" s="34"/>
      <c r="H4" s="31"/>
      <c r="I4" s="446"/>
      <c r="J4" s="32"/>
      <c r="K4" s="446"/>
      <c r="M4" s="33" t="s">
        <v>187</v>
      </c>
    </row>
    <row r="5" spans="1:25">
      <c r="B5" s="440" t="s">
        <v>188</v>
      </c>
      <c r="C5" s="441"/>
      <c r="D5" s="441"/>
      <c r="E5" s="441"/>
      <c r="F5" s="441"/>
      <c r="G5" s="441"/>
      <c r="H5" s="441"/>
      <c r="I5" s="441"/>
      <c r="J5" s="441"/>
      <c r="K5" s="442"/>
      <c r="M5" s="33" t="s">
        <v>189</v>
      </c>
    </row>
    <row r="6" spans="1:25">
      <c r="B6" s="35"/>
      <c r="C6" s="36" t="s">
        <v>190</v>
      </c>
      <c r="D6" s="37"/>
      <c r="E6" s="38" t="s">
        <v>191</v>
      </c>
      <c r="F6" s="39"/>
      <c r="G6" s="37"/>
      <c r="H6" s="37"/>
      <c r="I6" s="36" t="s">
        <v>190</v>
      </c>
      <c r="J6" s="37"/>
      <c r="K6" s="40" t="s">
        <v>191</v>
      </c>
      <c r="M6" s="33" t="s">
        <v>192</v>
      </c>
    </row>
    <row r="7" spans="1:25" s="28" customFormat="1">
      <c r="A7" s="108"/>
      <c r="B7" s="433" t="s">
        <v>193</v>
      </c>
      <c r="C7" s="434"/>
      <c r="D7" s="41"/>
      <c r="E7" s="42">
        <f>+ingresos!H33</f>
        <v>0</v>
      </c>
      <c r="F7" s="41"/>
      <c r="G7" s="434" t="s">
        <v>194</v>
      </c>
      <c r="H7" s="434"/>
      <c r="I7" s="434"/>
      <c r="J7" s="41"/>
      <c r="K7" s="43">
        <v>0</v>
      </c>
      <c r="M7" s="33" t="s">
        <v>195</v>
      </c>
    </row>
    <row r="8" spans="1:25" s="28" customFormat="1">
      <c r="A8" s="108"/>
      <c r="B8" s="433" t="s">
        <v>196</v>
      </c>
      <c r="C8" s="434"/>
      <c r="D8" s="41"/>
      <c r="E8" s="44">
        <v>0</v>
      </c>
      <c r="F8" s="41"/>
      <c r="G8" s="434" t="s">
        <v>329</v>
      </c>
      <c r="H8" s="434"/>
      <c r="I8" s="434"/>
      <c r="J8" s="41"/>
      <c r="K8" s="45">
        <v>0</v>
      </c>
      <c r="M8" s="33" t="s">
        <v>197</v>
      </c>
    </row>
    <row r="9" spans="1:25" s="28" customFormat="1">
      <c r="A9" s="108"/>
      <c r="B9" s="433" t="s">
        <v>198</v>
      </c>
      <c r="C9" s="434"/>
      <c r="D9" s="41"/>
      <c r="E9" s="44">
        <v>0</v>
      </c>
      <c r="F9" s="41"/>
      <c r="G9" s="434" t="s">
        <v>330</v>
      </c>
      <c r="H9" s="434"/>
      <c r="I9" s="434"/>
      <c r="J9" s="41"/>
      <c r="K9" s="45">
        <v>0</v>
      </c>
      <c r="M9" s="33" t="s">
        <v>199</v>
      </c>
    </row>
    <row r="10" spans="1:25" s="28" customFormat="1" ht="5.0999999999999996" customHeight="1">
      <c r="A10" s="108"/>
      <c r="B10" s="46"/>
      <c r="C10" s="41"/>
      <c r="D10" s="41"/>
      <c r="E10" s="41"/>
      <c r="F10" s="41"/>
      <c r="G10" s="41"/>
      <c r="H10" s="41"/>
      <c r="I10" s="41"/>
      <c r="J10" s="41"/>
      <c r="K10" s="47"/>
      <c r="M10" s="33" t="s">
        <v>200</v>
      </c>
    </row>
    <row r="11" spans="1:25" ht="14.4" thickBot="1">
      <c r="B11" s="435" t="s">
        <v>201</v>
      </c>
      <c r="C11" s="436"/>
      <c r="D11" s="48"/>
      <c r="E11" s="49">
        <f>+E7+E8+E9+K7+K8+K9</f>
        <v>0</v>
      </c>
      <c r="F11" s="49"/>
      <c r="G11" s="49"/>
      <c r="H11" s="49"/>
      <c r="I11" s="49"/>
      <c r="J11" s="49"/>
      <c r="K11" s="50"/>
      <c r="L11" s="51"/>
      <c r="M11" s="33" t="s">
        <v>202</v>
      </c>
    </row>
    <row r="12" spans="1:25" s="129" customFormat="1" ht="18.600000000000001">
      <c r="A12" s="107"/>
      <c r="B12" s="437" t="s">
        <v>405</v>
      </c>
      <c r="C12" s="438"/>
      <c r="D12" s="438"/>
      <c r="E12" s="438"/>
      <c r="F12" s="438"/>
      <c r="G12" s="438"/>
      <c r="H12" s="438"/>
      <c r="I12" s="438"/>
      <c r="J12" s="438"/>
      <c r="K12" s="439"/>
      <c r="L12" s="127"/>
      <c r="M12" s="128" t="s">
        <v>185</v>
      </c>
      <c r="N12" s="127"/>
      <c r="O12" s="127"/>
      <c r="P12" s="127"/>
      <c r="Q12" s="127"/>
      <c r="R12" s="127"/>
      <c r="S12" s="127"/>
      <c r="T12" s="127"/>
      <c r="U12" s="127"/>
      <c r="V12" s="127"/>
      <c r="W12" s="127"/>
      <c r="X12" s="127"/>
      <c r="Y12" s="127"/>
    </row>
    <row r="13" spans="1:25" s="28" customFormat="1">
      <c r="A13" s="108"/>
      <c r="B13" s="52" t="s">
        <v>203</v>
      </c>
      <c r="C13" s="53" t="s">
        <v>204</v>
      </c>
      <c r="D13" s="41"/>
      <c r="E13" s="54" t="s">
        <v>203</v>
      </c>
      <c r="F13" s="424" t="s">
        <v>204</v>
      </c>
      <c r="G13" s="424"/>
      <c r="H13" s="55"/>
      <c r="I13" s="54" t="s">
        <v>203</v>
      </c>
      <c r="J13" s="54"/>
      <c r="K13" s="56" t="s">
        <v>204</v>
      </c>
      <c r="M13" s="33" t="s">
        <v>205</v>
      </c>
    </row>
    <row r="14" spans="1:25" s="28" customFormat="1" ht="3" customHeight="1">
      <c r="A14" s="108"/>
      <c r="B14" s="46"/>
      <c r="C14" s="41"/>
      <c r="D14" s="41"/>
      <c r="E14" s="41"/>
      <c r="F14" s="41"/>
      <c r="G14" s="41"/>
      <c r="H14" s="41"/>
      <c r="I14" s="41"/>
      <c r="J14" s="41"/>
      <c r="K14" s="47"/>
      <c r="M14" s="33"/>
    </row>
    <row r="15" spans="1:25">
      <c r="B15" s="268" t="s">
        <v>206</v>
      </c>
      <c r="C15" s="269"/>
      <c r="D15" s="59"/>
      <c r="E15" s="58" t="s">
        <v>207</v>
      </c>
      <c r="F15" s="432"/>
      <c r="G15" s="432"/>
      <c r="H15" s="60"/>
      <c r="I15" s="58" t="s">
        <v>208</v>
      </c>
      <c r="J15" s="58"/>
      <c r="K15" s="61"/>
      <c r="M15" s="33"/>
    </row>
    <row r="16" spans="1:25" s="28" customFormat="1">
      <c r="A16" s="108"/>
      <c r="B16" s="62" t="s">
        <v>209</v>
      </c>
      <c r="C16" s="63">
        <f>+'hoja de gastos'!D6</f>
        <v>0</v>
      </c>
      <c r="D16" s="41"/>
      <c r="E16" s="64" t="s">
        <v>210</v>
      </c>
      <c r="F16" s="41"/>
      <c r="G16" s="63">
        <v>0</v>
      </c>
      <c r="H16" s="41"/>
      <c r="I16" s="41" t="s">
        <v>211</v>
      </c>
      <c r="J16" s="41"/>
      <c r="K16" s="65">
        <v>0</v>
      </c>
    </row>
    <row r="17" spans="1:13" s="28" customFormat="1">
      <c r="A17" s="108"/>
      <c r="B17" s="62" t="s">
        <v>331</v>
      </c>
      <c r="C17" s="63">
        <f>+'hoja de gastos'!D7</f>
        <v>0</v>
      </c>
      <c r="D17" s="41"/>
      <c r="E17" s="64" t="s">
        <v>212</v>
      </c>
      <c r="F17" s="41"/>
      <c r="G17" s="63">
        <f>+'hoja de gastos'!D37</f>
        <v>576</v>
      </c>
      <c r="H17" s="41"/>
      <c r="I17" s="41" t="s">
        <v>213</v>
      </c>
      <c r="J17" s="41"/>
      <c r="K17" s="65">
        <v>0</v>
      </c>
      <c r="L17" s="28" t="s">
        <v>214</v>
      </c>
    </row>
    <row r="18" spans="1:13">
      <c r="B18" s="268" t="s">
        <v>215</v>
      </c>
      <c r="C18" s="269"/>
      <c r="D18" s="66"/>
      <c r="E18" s="64" t="s">
        <v>216</v>
      </c>
      <c r="F18" s="41"/>
      <c r="G18" s="63">
        <v>0</v>
      </c>
      <c r="H18" s="66"/>
      <c r="I18" s="66" t="s">
        <v>217</v>
      </c>
      <c r="J18" s="41"/>
      <c r="K18" s="65">
        <v>0</v>
      </c>
    </row>
    <row r="19" spans="1:13" s="28" customFormat="1">
      <c r="A19" s="108"/>
      <c r="B19" s="62" t="s">
        <v>218</v>
      </c>
      <c r="C19" s="63">
        <f>+'hoja de gastos'!D11</f>
        <v>400</v>
      </c>
      <c r="D19" s="41"/>
      <c r="E19" s="58" t="s">
        <v>219</v>
      </c>
      <c r="F19" s="432"/>
      <c r="G19" s="432"/>
      <c r="H19" s="41"/>
      <c r="I19" s="41" t="s">
        <v>220</v>
      </c>
      <c r="J19" s="41"/>
      <c r="K19" s="65"/>
    </row>
    <row r="20" spans="1:13" s="28" customFormat="1">
      <c r="A20" s="108"/>
      <c r="B20" s="62" t="s">
        <v>221</v>
      </c>
      <c r="C20" s="63">
        <f>+'hoja de gastos'!D9</f>
        <v>368.04</v>
      </c>
      <c r="D20" s="41"/>
      <c r="E20" s="41" t="s">
        <v>222</v>
      </c>
      <c r="F20" s="41"/>
      <c r="G20" s="67">
        <v>0</v>
      </c>
      <c r="H20" s="41"/>
      <c r="I20" s="58" t="s">
        <v>223</v>
      </c>
      <c r="J20" s="58"/>
      <c r="K20" s="61"/>
    </row>
    <row r="21" spans="1:13" s="28" customFormat="1">
      <c r="A21" s="108"/>
      <c r="B21" s="62" t="s">
        <v>224</v>
      </c>
      <c r="C21" s="63">
        <f>+'hoja de gastos'!D13</f>
        <v>220</v>
      </c>
      <c r="D21" s="41"/>
      <c r="E21" s="41" t="s">
        <v>225</v>
      </c>
      <c r="F21" s="41"/>
      <c r="G21" s="67"/>
      <c r="H21" s="41"/>
      <c r="I21" s="41" t="s">
        <v>226</v>
      </c>
      <c r="J21" s="41"/>
      <c r="K21" s="65">
        <v>0</v>
      </c>
    </row>
    <row r="22" spans="1:13" s="28" customFormat="1">
      <c r="A22" s="108"/>
      <c r="B22" s="62" t="s">
        <v>333</v>
      </c>
      <c r="C22" s="63">
        <f>+'hoja de gastos'!D12</f>
        <v>390</v>
      </c>
      <c r="D22" s="41"/>
      <c r="E22" s="41" t="s">
        <v>227</v>
      </c>
      <c r="F22" s="41"/>
      <c r="G22" s="67">
        <v>0</v>
      </c>
      <c r="H22" s="41"/>
      <c r="I22" s="41" t="s">
        <v>216</v>
      </c>
      <c r="J22" s="41"/>
      <c r="K22" s="65">
        <v>0</v>
      </c>
    </row>
    <row r="23" spans="1:13" s="28" customFormat="1">
      <c r="A23" s="108"/>
      <c r="B23" s="73" t="s">
        <v>332</v>
      </c>
      <c r="C23" s="63">
        <f>+'hoja de gastos'!D10</f>
        <v>110</v>
      </c>
      <c r="D23" s="41"/>
      <c r="E23" s="41" t="s">
        <v>228</v>
      </c>
      <c r="F23" s="41"/>
      <c r="G23" s="67">
        <v>0</v>
      </c>
      <c r="H23" s="41"/>
      <c r="I23" s="68" t="s">
        <v>229</v>
      </c>
      <c r="J23" s="69"/>
      <c r="K23" s="70"/>
    </row>
    <row r="24" spans="1:13" s="28" customFormat="1">
      <c r="A24" s="108"/>
      <c r="B24" s="71" t="s">
        <v>230</v>
      </c>
      <c r="C24" s="63">
        <f>+'hoja de gastos'!D8</f>
        <v>885</v>
      </c>
      <c r="D24" s="41"/>
      <c r="E24" s="58" t="s">
        <v>231</v>
      </c>
      <c r="F24" s="432"/>
      <c r="G24" s="432"/>
      <c r="H24" s="41"/>
      <c r="I24" s="72" t="s">
        <v>232</v>
      </c>
      <c r="J24" s="41"/>
      <c r="K24" s="65">
        <f>+'hoja de gastos'!D90</f>
        <v>0</v>
      </c>
    </row>
    <row r="25" spans="1:13" s="28" customFormat="1">
      <c r="A25" s="108"/>
      <c r="B25" s="62" t="s">
        <v>233</v>
      </c>
      <c r="C25" s="63">
        <f>+'hoja de gastos'!D14</f>
        <v>0</v>
      </c>
      <c r="D25" s="41"/>
      <c r="E25" s="41" t="s">
        <v>234</v>
      </c>
      <c r="F25" s="41"/>
      <c r="G25" s="63">
        <v>0</v>
      </c>
      <c r="H25" s="41"/>
      <c r="I25" s="414" t="s">
        <v>235</v>
      </c>
      <c r="J25" s="415"/>
      <c r="K25" s="65">
        <f>+'hoja de gastos'!D81</f>
        <v>3050</v>
      </c>
    </row>
    <row r="26" spans="1:13" s="28" customFormat="1">
      <c r="A26" s="108"/>
      <c r="B26" s="73" t="s">
        <v>334</v>
      </c>
      <c r="C26" s="74">
        <f>+'hoja de gastos'!D15</f>
        <v>0</v>
      </c>
      <c r="D26" s="41"/>
      <c r="E26" s="41" t="s">
        <v>299</v>
      </c>
      <c r="F26" s="41"/>
      <c r="G26" s="63">
        <f>+'hoja de gastos'!D38</f>
        <v>450</v>
      </c>
      <c r="H26" s="41"/>
      <c r="I26" s="414" t="s">
        <v>236</v>
      </c>
      <c r="J26" s="415"/>
      <c r="K26" s="65">
        <f>+'hoja de gastos'!D80</f>
        <v>0</v>
      </c>
    </row>
    <row r="27" spans="1:13" s="28" customFormat="1">
      <c r="A27" s="108"/>
      <c r="B27" s="268" t="s">
        <v>237</v>
      </c>
      <c r="C27" s="269"/>
      <c r="D27" s="41"/>
      <c r="E27" s="41" t="s">
        <v>238</v>
      </c>
      <c r="F27" s="41"/>
      <c r="G27" s="63">
        <v>0</v>
      </c>
      <c r="H27" s="41"/>
      <c r="I27" s="416" t="s">
        <v>239</v>
      </c>
      <c r="J27" s="417"/>
      <c r="K27" s="65">
        <v>0</v>
      </c>
    </row>
    <row r="28" spans="1:13" s="28" customFormat="1">
      <c r="A28" s="108"/>
      <c r="B28" s="62" t="s">
        <v>291</v>
      </c>
      <c r="C28" s="63">
        <f>+'hoja de gastos'!D35</f>
        <v>6601.07</v>
      </c>
      <c r="D28" s="41"/>
      <c r="E28" s="41" t="s">
        <v>240</v>
      </c>
      <c r="F28" s="41"/>
      <c r="G28" s="63">
        <v>0</v>
      </c>
      <c r="H28" s="41"/>
      <c r="I28" s="72" t="s">
        <v>241</v>
      </c>
      <c r="J28" s="41"/>
      <c r="K28" s="65">
        <v>0</v>
      </c>
    </row>
    <row r="29" spans="1:13" s="28" customFormat="1" ht="20.399999999999999">
      <c r="A29" s="108"/>
      <c r="B29" s="62" t="s">
        <v>292</v>
      </c>
      <c r="C29" s="63"/>
      <c r="D29" s="41"/>
      <c r="E29" s="41" t="s">
        <v>335</v>
      </c>
      <c r="F29" s="41"/>
      <c r="G29" s="63">
        <f>+'hoja de gastos'!D15</f>
        <v>0</v>
      </c>
      <c r="H29" s="41"/>
      <c r="I29" s="75" t="s">
        <v>228</v>
      </c>
      <c r="J29" s="76"/>
      <c r="K29" s="77">
        <v>0</v>
      </c>
      <c r="L29" s="134">
        <f>SUM(K24:K29)</f>
        <v>3050</v>
      </c>
      <c r="M29" s="106">
        <f>IFERROR(+L29/E11,0)</f>
        <v>0</v>
      </c>
    </row>
    <row r="30" spans="1:13" s="130" customFormat="1" ht="16.2" thickBot="1">
      <c r="A30" s="334">
        <f>IFERROR(+D30/E11,0)</f>
        <v>0</v>
      </c>
      <c r="B30" s="418" t="s">
        <v>242</v>
      </c>
      <c r="C30" s="419"/>
      <c r="D30" s="420">
        <f>+C16+C17+C19+C20+C21+C22+C23+C24+C25+C26+C28+C29+G16+G17+G18+G20+G21+G22+G23+G25+G26+G27+G28+G29+K16+K17+K18+K19+K21+K22</f>
        <v>10000.11</v>
      </c>
      <c r="E30" s="420"/>
      <c r="F30" s="337"/>
      <c r="G30" s="337"/>
      <c r="H30" s="337"/>
      <c r="I30" s="337"/>
      <c r="J30" s="337"/>
      <c r="K30" s="338"/>
    </row>
    <row r="31" spans="1:13" s="127" customFormat="1" ht="18.600000000000001">
      <c r="A31" s="108"/>
      <c r="B31" s="421" t="s">
        <v>406</v>
      </c>
      <c r="C31" s="422"/>
      <c r="D31" s="422"/>
      <c r="E31" s="422"/>
      <c r="F31" s="422"/>
      <c r="G31" s="422"/>
      <c r="H31" s="422"/>
      <c r="I31" s="422"/>
      <c r="J31" s="422"/>
      <c r="K31" s="423"/>
    </row>
    <row r="32" spans="1:13" s="28" customFormat="1" ht="6" customHeight="1">
      <c r="A32" s="108"/>
      <c r="B32" s="78"/>
      <c r="C32" s="79"/>
      <c r="D32" s="79"/>
      <c r="E32" s="79"/>
      <c r="F32" s="79"/>
      <c r="G32" s="79"/>
      <c r="H32" s="79"/>
      <c r="I32" s="79"/>
      <c r="J32" s="79"/>
      <c r="K32" s="80"/>
    </row>
    <row r="33" spans="1:11" s="28" customFormat="1">
      <c r="A33" s="108"/>
      <c r="B33" s="52" t="s">
        <v>203</v>
      </c>
      <c r="C33" s="53" t="s">
        <v>243</v>
      </c>
      <c r="D33" s="41"/>
      <c r="E33" s="54" t="s">
        <v>203</v>
      </c>
      <c r="F33" s="424" t="s">
        <v>243</v>
      </c>
      <c r="G33" s="424"/>
      <c r="H33" s="55"/>
      <c r="I33" s="54" t="s">
        <v>203</v>
      </c>
      <c r="J33" s="81"/>
      <c r="K33" s="56" t="s">
        <v>244</v>
      </c>
    </row>
    <row r="34" spans="1:11" s="28" customFormat="1">
      <c r="A34" s="108"/>
      <c r="B34" s="46"/>
      <c r="C34" s="41"/>
      <c r="D34" s="41"/>
      <c r="E34" s="41"/>
      <c r="F34" s="41"/>
      <c r="G34" s="41"/>
      <c r="H34" s="41"/>
      <c r="I34" s="41"/>
      <c r="J34" s="41"/>
      <c r="K34" s="47"/>
    </row>
    <row r="35" spans="1:11" s="28" customFormat="1">
      <c r="A35" s="108"/>
      <c r="B35" s="57" t="s">
        <v>336</v>
      </c>
      <c r="C35" s="58"/>
      <c r="D35" s="41"/>
      <c r="E35" s="82" t="s">
        <v>337</v>
      </c>
      <c r="F35" s="58"/>
      <c r="G35" s="82"/>
      <c r="H35" s="41"/>
      <c r="I35" s="82" t="s">
        <v>338</v>
      </c>
      <c r="J35" s="58"/>
      <c r="K35" s="83"/>
    </row>
    <row r="36" spans="1:11" s="28" customFormat="1">
      <c r="A36" s="108"/>
      <c r="B36" s="46" t="s">
        <v>245</v>
      </c>
      <c r="C36" s="63">
        <v>0</v>
      </c>
      <c r="D36" s="41"/>
      <c r="E36" s="41" t="s">
        <v>246</v>
      </c>
      <c r="F36" s="41"/>
      <c r="G36" s="63">
        <v>0</v>
      </c>
      <c r="H36" s="41"/>
      <c r="I36" s="41" t="s">
        <v>247</v>
      </c>
      <c r="J36" s="41"/>
      <c r="K36" s="65">
        <v>0</v>
      </c>
    </row>
    <row r="37" spans="1:11" s="28" customFormat="1">
      <c r="A37" s="108"/>
      <c r="B37" s="46" t="s">
        <v>248</v>
      </c>
      <c r="C37" s="63">
        <v>0</v>
      </c>
      <c r="D37" s="41"/>
      <c r="E37" s="41" t="s">
        <v>339</v>
      </c>
      <c r="F37" s="41"/>
      <c r="G37" s="63">
        <f>+'hoja de gastos'!D56</f>
        <v>452</v>
      </c>
      <c r="H37" s="41"/>
      <c r="I37" s="41" t="s">
        <v>249</v>
      </c>
      <c r="J37" s="41"/>
      <c r="K37" s="65">
        <v>0</v>
      </c>
    </row>
    <row r="38" spans="1:11" s="28" customFormat="1">
      <c r="A38" s="108"/>
      <c r="B38" s="46" t="s">
        <v>250</v>
      </c>
      <c r="C38" s="63">
        <v>0</v>
      </c>
      <c r="D38" s="41"/>
      <c r="E38" s="41" t="s">
        <v>251</v>
      </c>
      <c r="F38" s="41"/>
      <c r="G38" s="63">
        <v>0</v>
      </c>
      <c r="H38" s="41"/>
      <c r="I38" s="41" t="s">
        <v>252</v>
      </c>
      <c r="J38" s="41"/>
      <c r="K38" s="65">
        <v>0</v>
      </c>
    </row>
    <row r="39" spans="1:11" s="28" customFormat="1">
      <c r="A39" s="108"/>
      <c r="B39" s="57" t="s">
        <v>207</v>
      </c>
      <c r="C39" s="58"/>
      <c r="D39" s="41"/>
      <c r="E39" s="73" t="s">
        <v>296</v>
      </c>
      <c r="F39" s="41"/>
      <c r="G39" s="63">
        <v>0</v>
      </c>
      <c r="H39" s="41"/>
      <c r="I39" s="41" t="s">
        <v>253</v>
      </c>
      <c r="J39" s="41"/>
      <c r="K39" s="65">
        <v>0</v>
      </c>
    </row>
    <row r="40" spans="1:11" s="28" customFormat="1">
      <c r="A40" s="108"/>
      <c r="B40" s="46" t="s">
        <v>254</v>
      </c>
      <c r="C40" s="63">
        <v>0</v>
      </c>
      <c r="D40" s="41"/>
      <c r="E40" s="41" t="s">
        <v>297</v>
      </c>
      <c r="F40" s="41"/>
      <c r="G40" s="63">
        <v>0</v>
      </c>
      <c r="H40" s="41"/>
      <c r="I40" s="41" t="s">
        <v>306</v>
      </c>
      <c r="J40" s="41"/>
      <c r="K40" s="122">
        <f>+'hoja de gastos'!D68</f>
        <v>1061.3</v>
      </c>
    </row>
    <row r="41" spans="1:11" s="28" customFormat="1">
      <c r="A41" s="108"/>
      <c r="B41" s="46" t="s">
        <v>255</v>
      </c>
      <c r="C41" s="63">
        <v>0</v>
      </c>
      <c r="D41" s="41"/>
      <c r="E41" s="41" t="s">
        <v>216</v>
      </c>
      <c r="F41" s="84"/>
      <c r="G41" s="121">
        <v>0</v>
      </c>
      <c r="H41" s="41"/>
      <c r="I41" s="82" t="s">
        <v>340</v>
      </c>
      <c r="J41" s="58"/>
      <c r="K41" s="83"/>
    </row>
    <row r="42" spans="1:11" s="28" customFormat="1">
      <c r="A42" s="108"/>
      <c r="B42" s="46" t="s">
        <v>228</v>
      </c>
      <c r="C42" s="63">
        <v>0</v>
      </c>
      <c r="D42" s="41"/>
      <c r="E42" s="82" t="s">
        <v>342</v>
      </c>
      <c r="F42" s="58"/>
      <c r="G42" s="82"/>
      <c r="H42" s="41"/>
      <c r="I42" s="41" t="s">
        <v>256</v>
      </c>
      <c r="J42" s="41"/>
      <c r="K42" s="65">
        <v>0</v>
      </c>
    </row>
    <row r="43" spans="1:11" s="28" customFormat="1">
      <c r="A43" s="108"/>
      <c r="B43" s="57" t="s">
        <v>341</v>
      </c>
      <c r="C43" s="58"/>
      <c r="D43" s="41"/>
      <c r="E43" s="41" t="s">
        <v>257</v>
      </c>
      <c r="F43" s="41"/>
      <c r="G43" s="63">
        <v>0</v>
      </c>
      <c r="H43" s="41"/>
      <c r="I43" s="41" t="s">
        <v>258</v>
      </c>
      <c r="J43" s="41"/>
      <c r="K43" s="65">
        <v>0</v>
      </c>
    </row>
    <row r="44" spans="1:11" s="28" customFormat="1">
      <c r="A44" s="108"/>
      <c r="B44" s="46" t="s">
        <v>259</v>
      </c>
      <c r="C44" s="63">
        <v>0</v>
      </c>
      <c r="D44" s="41"/>
      <c r="E44" s="41" t="s">
        <v>260</v>
      </c>
      <c r="F44" s="41"/>
      <c r="G44" s="63">
        <v>0</v>
      </c>
      <c r="H44" s="41"/>
      <c r="I44" s="41" t="s">
        <v>228</v>
      </c>
      <c r="J44" s="41"/>
      <c r="K44" s="65">
        <v>0</v>
      </c>
    </row>
    <row r="45" spans="1:11" s="28" customFormat="1">
      <c r="A45" s="108"/>
      <c r="B45" s="46" t="s">
        <v>261</v>
      </c>
      <c r="C45" s="63">
        <v>0</v>
      </c>
      <c r="D45" s="41"/>
      <c r="E45" s="41" t="s">
        <v>262</v>
      </c>
      <c r="F45" s="41"/>
      <c r="G45" s="63">
        <v>0</v>
      </c>
      <c r="H45" s="41"/>
      <c r="I45" s="82" t="s">
        <v>343</v>
      </c>
      <c r="J45" s="58"/>
      <c r="K45" s="83"/>
    </row>
    <row r="46" spans="1:11" s="28" customFormat="1">
      <c r="A46" s="108"/>
      <c r="B46" s="46" t="s">
        <v>263</v>
      </c>
      <c r="C46" s="63">
        <v>0</v>
      </c>
      <c r="D46" s="41"/>
      <c r="E46" s="41" t="s">
        <v>264</v>
      </c>
      <c r="F46" s="41" t="s">
        <v>214</v>
      </c>
      <c r="G46" s="63">
        <v>0</v>
      </c>
      <c r="H46" s="41"/>
      <c r="I46" s="73" t="s">
        <v>265</v>
      </c>
      <c r="J46" s="41"/>
      <c r="K46" s="65">
        <v>0</v>
      </c>
    </row>
    <row r="47" spans="1:11" s="28" customFormat="1">
      <c r="A47" s="108"/>
      <c r="B47" s="46" t="s">
        <v>228</v>
      </c>
      <c r="C47" s="63">
        <v>0</v>
      </c>
      <c r="D47" s="41"/>
      <c r="E47" s="41"/>
      <c r="F47" s="41"/>
      <c r="G47" s="41"/>
      <c r="H47" s="41"/>
      <c r="I47" s="41" t="s">
        <v>266</v>
      </c>
      <c r="J47" s="41"/>
      <c r="K47" s="65">
        <v>0</v>
      </c>
    </row>
    <row r="48" spans="1:11" s="131" customFormat="1" ht="15.6">
      <c r="A48" s="154">
        <f>IFERROR(+D48/E11,0)</f>
        <v>0</v>
      </c>
      <c r="B48" s="425" t="s">
        <v>267</v>
      </c>
      <c r="C48" s="426"/>
      <c r="D48" s="427">
        <f>+C36+C37+C38+C40+C41+C42+C44+C45+C46+C47+G36+G37+G38+G39+G40+G41+G43+G44+G45+G46+K36+K37+K38+K39+K40+K42+K43+K44+K46+K47</f>
        <v>1513.3</v>
      </c>
      <c r="E48" s="427"/>
      <c r="F48" s="335"/>
      <c r="G48" s="335"/>
      <c r="H48" s="335"/>
      <c r="I48" s="335"/>
      <c r="J48" s="335"/>
      <c r="K48" s="336"/>
    </row>
    <row r="49" spans="1:12" s="28" customFormat="1">
      <c r="A49" s="108"/>
      <c r="B49" s="46"/>
      <c r="C49" s="41"/>
      <c r="D49" s="41"/>
      <c r="E49" s="41"/>
      <c r="F49" s="41"/>
      <c r="G49" s="41"/>
      <c r="H49" s="41"/>
      <c r="I49" s="41"/>
      <c r="J49" s="41"/>
      <c r="K49" s="47"/>
    </row>
    <row r="50" spans="1:12" s="28" customFormat="1" ht="14.4" thickBot="1">
      <c r="A50" s="155">
        <f>IFERROR(+D50/B53,0)</f>
        <v>0</v>
      </c>
      <c r="B50" s="428" t="s">
        <v>268</v>
      </c>
      <c r="C50" s="429"/>
      <c r="D50" s="430">
        <f>+D30+D48</f>
        <v>11513.41</v>
      </c>
      <c r="E50" s="431"/>
      <c r="F50" s="132"/>
      <c r="G50" s="132"/>
      <c r="H50" s="132"/>
      <c r="I50" s="132"/>
      <c r="J50" s="132"/>
      <c r="K50" s="133"/>
    </row>
    <row r="51" spans="1:12" s="28" customFormat="1" ht="14.4" thickBot="1">
      <c r="A51" s="108"/>
      <c r="B51" s="85"/>
      <c r="C51" s="86"/>
      <c r="D51" s="87"/>
      <c r="E51" s="88"/>
      <c r="F51" s="89"/>
      <c r="G51" s="89"/>
      <c r="H51" s="89"/>
      <c r="I51" s="89"/>
      <c r="J51" s="89"/>
      <c r="K51" s="90"/>
      <c r="L51" s="51"/>
    </row>
    <row r="52" spans="1:12" s="28" customFormat="1">
      <c r="A52" s="108"/>
      <c r="B52" s="91" t="s">
        <v>269</v>
      </c>
      <c r="C52" s="92"/>
      <c r="D52" s="92"/>
      <c r="E52" s="413" t="s">
        <v>404</v>
      </c>
      <c r="F52" s="413"/>
      <c r="G52" s="413"/>
      <c r="H52" s="93"/>
      <c r="I52" s="93"/>
      <c r="J52" s="93"/>
      <c r="K52" s="94" t="s">
        <v>270</v>
      </c>
    </row>
    <row r="53" spans="1:12" s="28" customFormat="1" ht="14.4" thickBot="1">
      <c r="A53" s="125">
        <f>IFERROR(+E53/E11,0)</f>
        <v>0</v>
      </c>
      <c r="B53" s="398">
        <f>+E11</f>
        <v>0</v>
      </c>
      <c r="C53" s="399"/>
      <c r="D53" s="95"/>
      <c r="E53" s="96">
        <f>+B53*0.5</f>
        <v>0</v>
      </c>
      <c r="F53" s="96"/>
      <c r="G53" s="96"/>
      <c r="H53" s="96"/>
      <c r="I53" s="96"/>
      <c r="J53" s="97"/>
      <c r="K53" s="98">
        <f>+B53-E53</f>
        <v>0</v>
      </c>
      <c r="L53" s="125">
        <f>IFERROR(+K53/E11,0)</f>
        <v>0</v>
      </c>
    </row>
    <row r="54" spans="1:12" s="28" customFormat="1" ht="14.4" thickBot="1">
      <c r="A54" s="108"/>
      <c r="B54" s="99"/>
      <c r="C54" s="100"/>
      <c r="D54" s="100"/>
      <c r="E54" s="101"/>
      <c r="F54" s="102"/>
      <c r="G54" s="102"/>
      <c r="H54" s="102"/>
      <c r="I54" s="102"/>
      <c r="J54" s="100"/>
      <c r="K54" s="101"/>
    </row>
    <row r="55" spans="1:12" s="28" customFormat="1" ht="30" customHeight="1">
      <c r="A55" s="156">
        <f>IFERROR(+D55/E11,0)</f>
        <v>0</v>
      </c>
      <c r="B55" s="400" t="s">
        <v>271</v>
      </c>
      <c r="C55" s="401"/>
      <c r="D55" s="402">
        <f>E11*0.3</f>
        <v>0</v>
      </c>
      <c r="E55" s="403"/>
      <c r="F55" s="404" t="s">
        <v>272</v>
      </c>
      <c r="G55" s="405"/>
      <c r="H55" s="405"/>
      <c r="I55" s="405"/>
      <c r="J55" s="405"/>
      <c r="K55" s="406"/>
    </row>
    <row r="56" spans="1:12" s="28" customFormat="1" ht="20.100000000000001" customHeight="1">
      <c r="A56" s="125">
        <f>IFERROR(+D56/B53,0)</f>
        <v>0</v>
      </c>
      <c r="B56" s="410" t="s">
        <v>273</v>
      </c>
      <c r="C56" s="411"/>
      <c r="D56" s="412">
        <f>SUM(K24:K29)</f>
        <v>3050</v>
      </c>
      <c r="E56" s="412"/>
      <c r="F56" s="407"/>
      <c r="G56" s="408"/>
      <c r="H56" s="408"/>
      <c r="I56" s="408"/>
      <c r="J56" s="408"/>
      <c r="K56" s="409"/>
    </row>
    <row r="57" spans="1:12" s="28" customFormat="1" ht="30" customHeight="1">
      <c r="A57" s="108"/>
      <c r="B57" s="392" t="s">
        <v>274</v>
      </c>
      <c r="C57" s="393"/>
      <c r="D57" s="393"/>
      <c r="E57" s="393"/>
      <c r="F57" s="393"/>
      <c r="G57" s="393"/>
      <c r="H57" s="393"/>
      <c r="I57" s="393"/>
      <c r="J57" s="393"/>
      <c r="K57" s="394"/>
    </row>
    <row r="58" spans="1:12" s="28" customFormat="1" ht="30" customHeight="1" thickBot="1">
      <c r="A58" s="108"/>
      <c r="B58" s="395"/>
      <c r="C58" s="396"/>
      <c r="D58" s="396"/>
      <c r="E58" s="396"/>
      <c r="F58" s="396"/>
      <c r="G58" s="396"/>
      <c r="H58" s="396"/>
      <c r="I58" s="396"/>
      <c r="J58" s="396"/>
      <c r="K58" s="397"/>
    </row>
    <row r="59" spans="1:12" s="28" customFormat="1">
      <c r="A59" s="108"/>
      <c r="B59" s="103"/>
      <c r="C59" s="103"/>
      <c r="D59" s="103"/>
      <c r="E59" s="103"/>
      <c r="F59" s="89"/>
      <c r="G59" s="89"/>
    </row>
    <row r="60" spans="1:12" s="28" customFormat="1">
      <c r="A60" s="108"/>
      <c r="B60" s="103"/>
      <c r="C60" s="103"/>
      <c r="D60" s="103"/>
      <c r="E60" s="103"/>
      <c r="F60" s="89"/>
      <c r="G60" s="89"/>
    </row>
    <row r="61" spans="1:12" s="28" customFormat="1">
      <c r="A61" s="108"/>
      <c r="B61" s="89"/>
      <c r="C61" s="89"/>
      <c r="D61" s="89"/>
      <c r="E61" s="89"/>
      <c r="F61" s="89"/>
      <c r="G61" s="89"/>
    </row>
    <row r="62" spans="1:12" s="28" customFormat="1">
      <c r="A62" s="108"/>
      <c r="B62" s="89"/>
      <c r="C62" s="89"/>
      <c r="D62" s="89"/>
      <c r="E62" s="89"/>
      <c r="F62" s="89"/>
      <c r="G62" s="89"/>
    </row>
    <row r="63" spans="1:12" s="28" customFormat="1">
      <c r="A63" s="108"/>
    </row>
    <row r="64" spans="1:12" s="28" customFormat="1">
      <c r="A64" s="108"/>
    </row>
    <row r="65" spans="1:1" s="28" customFormat="1">
      <c r="A65" s="108"/>
    </row>
    <row r="66" spans="1:1" s="28" customFormat="1">
      <c r="A66" s="108"/>
    </row>
    <row r="67" spans="1:1" s="28" customFormat="1">
      <c r="A67" s="108"/>
    </row>
    <row r="68" spans="1:1" s="28" customFormat="1">
      <c r="A68" s="108"/>
    </row>
    <row r="69" spans="1:1" s="28" customFormat="1">
      <c r="A69" s="108"/>
    </row>
    <row r="70" spans="1:1" s="28" customFormat="1">
      <c r="A70" s="108"/>
    </row>
    <row r="71" spans="1:1" s="28" customFormat="1">
      <c r="A71" s="108"/>
    </row>
    <row r="72" spans="1:1" s="28" customFormat="1">
      <c r="A72" s="108"/>
    </row>
    <row r="73" spans="1:1" s="28" customFormat="1">
      <c r="A73" s="108"/>
    </row>
    <row r="74" spans="1:1" s="28" customFormat="1">
      <c r="A74" s="108"/>
    </row>
    <row r="75" spans="1:1" s="28" customFormat="1">
      <c r="A75" s="108"/>
    </row>
    <row r="76" spans="1:1" s="28" customFormat="1">
      <c r="A76" s="108"/>
    </row>
    <row r="77" spans="1:1" s="28" customFormat="1">
      <c r="A77" s="108"/>
    </row>
    <row r="78" spans="1:1" s="28" customFormat="1">
      <c r="A78" s="108"/>
    </row>
    <row r="79" spans="1:1" s="28" customFormat="1">
      <c r="A79" s="108"/>
    </row>
    <row r="80" spans="1:1" s="28" customFormat="1">
      <c r="A80" s="108"/>
    </row>
    <row r="81" spans="1:1" s="28" customFormat="1">
      <c r="A81" s="108"/>
    </row>
    <row r="82" spans="1:1" s="28" customFormat="1">
      <c r="A82" s="108"/>
    </row>
    <row r="83" spans="1:1" s="28" customFormat="1">
      <c r="A83" s="108"/>
    </row>
    <row r="84" spans="1:1" s="28" customFormat="1">
      <c r="A84" s="108"/>
    </row>
    <row r="85" spans="1:1" s="28" customFormat="1">
      <c r="A85" s="108"/>
    </row>
    <row r="86" spans="1:1" s="28" customFormat="1">
      <c r="A86" s="108"/>
    </row>
    <row r="87" spans="1:1" s="28" customFormat="1">
      <c r="A87" s="108"/>
    </row>
    <row r="88" spans="1:1" s="28" customFormat="1">
      <c r="A88" s="108"/>
    </row>
    <row r="89" spans="1:1" s="28" customFormat="1">
      <c r="A89" s="108"/>
    </row>
    <row r="90" spans="1:1" s="28" customFormat="1">
      <c r="A90" s="108"/>
    </row>
    <row r="91" spans="1:1" s="28" customFormat="1">
      <c r="A91" s="108"/>
    </row>
    <row r="92" spans="1:1" s="28" customFormat="1">
      <c r="A92" s="108"/>
    </row>
    <row r="93" spans="1:1" s="28" customFormat="1">
      <c r="A93" s="108"/>
    </row>
    <row r="94" spans="1:1" s="28" customFormat="1">
      <c r="A94" s="108"/>
    </row>
    <row r="95" spans="1:1" s="28" customFormat="1">
      <c r="A95" s="108"/>
    </row>
    <row r="96" spans="1:1" s="28" customFormat="1">
      <c r="A96" s="108"/>
    </row>
    <row r="97" spans="1:1" s="28" customFormat="1">
      <c r="A97" s="108"/>
    </row>
    <row r="98" spans="1:1" s="28" customFormat="1">
      <c r="A98" s="108"/>
    </row>
    <row r="99" spans="1:1" s="28" customFormat="1">
      <c r="A99" s="108"/>
    </row>
    <row r="100" spans="1:1" s="28" customFormat="1">
      <c r="A100" s="108"/>
    </row>
    <row r="101" spans="1:1" s="28" customFormat="1">
      <c r="A101" s="108"/>
    </row>
    <row r="102" spans="1:1" s="28" customFormat="1">
      <c r="A102" s="108"/>
    </row>
    <row r="103" spans="1:1" s="28" customFormat="1">
      <c r="A103" s="108"/>
    </row>
    <row r="104" spans="1:1" s="28" customFormat="1">
      <c r="A104" s="108"/>
    </row>
    <row r="105" spans="1:1" s="28" customFormat="1">
      <c r="A105" s="108"/>
    </row>
    <row r="106" spans="1:1" s="28" customFormat="1">
      <c r="A106" s="108"/>
    </row>
    <row r="107" spans="1:1" s="28" customFormat="1">
      <c r="A107" s="108"/>
    </row>
    <row r="108" spans="1:1" s="28" customFormat="1">
      <c r="A108" s="108"/>
    </row>
    <row r="109" spans="1:1" s="28" customFormat="1">
      <c r="A109" s="108"/>
    </row>
    <row r="110" spans="1:1" s="28" customFormat="1">
      <c r="A110" s="108"/>
    </row>
    <row r="111" spans="1:1" s="28" customFormat="1">
      <c r="A111" s="108"/>
    </row>
    <row r="112" spans="1:1" s="28" customFormat="1">
      <c r="A112" s="108"/>
    </row>
    <row r="113" spans="1:10" s="28" customFormat="1">
      <c r="A113" s="108"/>
    </row>
    <row r="114" spans="1:10" s="28" customFormat="1">
      <c r="A114" s="108"/>
    </row>
    <row r="115" spans="1:10" s="28" customFormat="1">
      <c r="A115" s="108"/>
    </row>
    <row r="116" spans="1:10" s="28" customFormat="1">
      <c r="A116" s="108"/>
    </row>
    <row r="117" spans="1:10" s="28" customFormat="1">
      <c r="A117" s="108"/>
    </row>
    <row r="118" spans="1:10" s="28" customFormat="1">
      <c r="A118" s="108"/>
    </row>
    <row r="119" spans="1:10" s="28" customFormat="1">
      <c r="A119" s="108"/>
    </row>
    <row r="120" spans="1:10" s="28" customFormat="1">
      <c r="A120" s="108"/>
    </row>
    <row r="121" spans="1:10" s="28" customFormat="1">
      <c r="A121" s="108"/>
    </row>
    <row r="122" spans="1:10">
      <c r="A122" s="108"/>
      <c r="B122" s="28"/>
      <c r="C122" s="28"/>
      <c r="D122" s="28"/>
      <c r="E122" s="28"/>
      <c r="F122" s="28"/>
      <c r="G122" s="28"/>
      <c r="H122" s="28"/>
      <c r="I122" s="28"/>
      <c r="J122" s="28"/>
    </row>
    <row r="123" spans="1:10">
      <c r="A123" s="108"/>
      <c r="B123" s="28"/>
      <c r="C123" s="28"/>
      <c r="D123" s="28"/>
      <c r="E123" s="28"/>
      <c r="F123" s="28"/>
      <c r="G123" s="28"/>
      <c r="H123" s="28"/>
      <c r="I123" s="28"/>
      <c r="J123" s="28"/>
    </row>
    <row r="130" spans="9:9">
      <c r="I130" s="104"/>
    </row>
  </sheetData>
  <mergeCells count="37">
    <mergeCell ref="B5:K5"/>
    <mergeCell ref="C2:G2"/>
    <mergeCell ref="I2:K2"/>
    <mergeCell ref="C3:G3"/>
    <mergeCell ref="I3:I4"/>
    <mergeCell ref="K3:K4"/>
    <mergeCell ref="F24:G24"/>
    <mergeCell ref="B7:C7"/>
    <mergeCell ref="G7:I7"/>
    <mergeCell ref="B8:C8"/>
    <mergeCell ref="G8:I8"/>
    <mergeCell ref="B9:C9"/>
    <mergeCell ref="G9:I9"/>
    <mergeCell ref="B11:C11"/>
    <mergeCell ref="B12:K12"/>
    <mergeCell ref="F13:G13"/>
    <mergeCell ref="F15:G15"/>
    <mergeCell ref="F19:G19"/>
    <mergeCell ref="E52:G52"/>
    <mergeCell ref="I25:J25"/>
    <mergeCell ref="I26:J26"/>
    <mergeCell ref="I27:J27"/>
    <mergeCell ref="B30:C30"/>
    <mergeCell ref="D30:E30"/>
    <mergeCell ref="B31:K31"/>
    <mergeCell ref="F33:G33"/>
    <mergeCell ref="B48:C48"/>
    <mergeCell ref="D48:E48"/>
    <mergeCell ref="B50:C50"/>
    <mergeCell ref="D50:E50"/>
    <mergeCell ref="B57:K58"/>
    <mergeCell ref="B53:C53"/>
    <mergeCell ref="B55:C55"/>
    <mergeCell ref="D55:E55"/>
    <mergeCell ref="F55:K56"/>
    <mergeCell ref="B56:C56"/>
    <mergeCell ref="D56:E56"/>
  </mergeCells>
  <conditionalFormatting sqref="D56:E56">
    <cfRule type="colorScale" priority="1">
      <colorScale>
        <cfvo type="formula" val="$D$55"/>
        <cfvo type="formula" val="$D$55"/>
        <cfvo type="formula" val="$D$55"/>
        <color theme="6" tint="-0.249977111117893"/>
        <color rgb="FFFFEB84"/>
        <color rgb="FFFF0000"/>
      </colorScale>
    </cfRule>
  </conditionalFormatting>
  <dataValidations count="1">
    <dataValidation type="list" allowBlank="1" showInputMessage="1" showErrorMessage="1" sqref="K3" xr:uid="{00000000-0002-0000-0300-000000000000}">
      <formula1>$M$3:$M$13</formula1>
    </dataValidation>
  </dataValidations>
  <pageMargins left="0.25" right="0.25" top="0.75" bottom="0.75" header="0.3" footer="0.3"/>
  <pageSetup scale="33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42EFF-D134-4E08-8680-0F5E2126D156}">
  <sheetPr codeName="Hoja7">
    <tabColor rgb="FFFFFF00"/>
  </sheetPr>
  <dimension ref="A1:M19"/>
  <sheetViews>
    <sheetView showGridLines="0" topLeftCell="A2" workbookViewId="0">
      <selection activeCell="C19" sqref="C19"/>
    </sheetView>
  </sheetViews>
  <sheetFormatPr baseColWidth="10" defaultRowHeight="14.4"/>
  <cols>
    <col min="1" max="1" width="2.6640625" customWidth="1"/>
    <col min="2" max="2" width="24" bestFit="1" customWidth="1"/>
    <col min="3" max="3" width="14.6640625" customWidth="1"/>
    <col min="4" max="4" width="14.6640625" style="3" customWidth="1"/>
    <col min="5" max="5" width="14.6640625" customWidth="1"/>
    <col min="6" max="6" width="8.6640625" customWidth="1"/>
    <col min="7" max="8" width="11.109375" bestFit="1" customWidth="1"/>
  </cols>
  <sheetData>
    <row r="1" spans="1:13" s="123" customFormat="1" ht="39.9" customHeight="1">
      <c r="B1" s="123" t="s">
        <v>355</v>
      </c>
      <c r="D1" s="124"/>
    </row>
    <row r="2" spans="1:13" ht="25.8">
      <c r="H2" s="352" t="s">
        <v>278</v>
      </c>
      <c r="I2" s="148"/>
      <c r="J2" s="148"/>
      <c r="K2" s="148"/>
      <c r="L2" s="148"/>
      <c r="M2" s="148"/>
    </row>
    <row r="3" spans="1:13" s="108" customFormat="1" ht="39.9" customHeight="1">
      <c r="B3" s="447" t="s">
        <v>344</v>
      </c>
      <c r="C3" s="159" t="s">
        <v>347</v>
      </c>
      <c r="D3" s="159" t="s">
        <v>347</v>
      </c>
      <c r="E3" s="159" t="s">
        <v>348</v>
      </c>
      <c r="F3" s="159" t="s">
        <v>348</v>
      </c>
      <c r="G3" s="160" t="s">
        <v>351</v>
      </c>
      <c r="H3" s="159" t="s">
        <v>351</v>
      </c>
      <c r="I3" s="88"/>
      <c r="J3" s="88"/>
      <c r="K3" s="88"/>
      <c r="L3" s="88"/>
      <c r="M3" s="88"/>
    </row>
    <row r="4" spans="1:13" s="28" customFormat="1" ht="39.9" customHeight="1">
      <c r="A4" s="108"/>
      <c r="B4" s="448"/>
      <c r="C4" s="159" t="s">
        <v>352</v>
      </c>
      <c r="D4" s="159" t="s">
        <v>13</v>
      </c>
      <c r="E4" s="159" t="s">
        <v>352</v>
      </c>
      <c r="F4" s="159" t="s">
        <v>13</v>
      </c>
      <c r="G4" s="160" t="s">
        <v>13</v>
      </c>
      <c r="H4" s="161" t="s">
        <v>352</v>
      </c>
      <c r="I4" s="149"/>
      <c r="J4" s="149"/>
      <c r="K4" s="149"/>
      <c r="L4" s="149"/>
      <c r="M4" s="89"/>
    </row>
    <row r="5" spans="1:13" s="142" customFormat="1" ht="13.8">
      <c r="A5" s="139"/>
      <c r="B5" s="157" t="s">
        <v>345</v>
      </c>
      <c r="C5" s="140">
        <f>+C11*0.5</f>
        <v>0</v>
      </c>
      <c r="D5" s="143">
        <f>IFERROR(+C5/C11,0)</f>
        <v>0</v>
      </c>
      <c r="E5" s="141">
        <f>+'hoja de gastos'!D45</f>
        <v>10000.11</v>
      </c>
      <c r="F5" s="143">
        <f>IFERROR(+E5/C11,0)</f>
        <v>0</v>
      </c>
      <c r="G5" s="143">
        <f>+D5-F5</f>
        <v>0</v>
      </c>
      <c r="H5" s="147">
        <f>+C5-E5</f>
        <v>-10000.11</v>
      </c>
      <c r="I5" s="150"/>
      <c r="J5" s="150"/>
      <c r="K5" s="150"/>
      <c r="L5" s="150"/>
      <c r="M5" s="151"/>
    </row>
    <row r="6" spans="1:13" s="142" customFormat="1" ht="13.8">
      <c r="A6" s="139"/>
      <c r="B6" s="158" t="s">
        <v>346</v>
      </c>
      <c r="C6" s="140">
        <f>+C11*0.2</f>
        <v>0</v>
      </c>
      <c r="D6" s="143">
        <f>IFERROR(+C6/C11,0)</f>
        <v>0</v>
      </c>
      <c r="E6" s="141">
        <f>+'hoja de gastos'!D75</f>
        <v>1513.3</v>
      </c>
      <c r="F6" s="143">
        <f>IFERROR(+E6/C11,0)</f>
        <v>0</v>
      </c>
      <c r="G6" s="143">
        <f>+D6-F6</f>
        <v>0</v>
      </c>
      <c r="H6" s="147">
        <f>+C6-E6</f>
        <v>-1513.3</v>
      </c>
      <c r="I6" s="150"/>
      <c r="J6" s="150"/>
      <c r="K6" s="150"/>
      <c r="L6" s="150"/>
      <c r="M6" s="151"/>
    </row>
    <row r="7" spans="1:13" s="142" customFormat="1" ht="13.8">
      <c r="A7" s="139"/>
      <c r="B7" s="351" t="s">
        <v>317</v>
      </c>
      <c r="C7" s="140">
        <f>+C11*0.3</f>
        <v>0</v>
      </c>
      <c r="D7" s="143">
        <f>IFERROR(+C7/C11,0)</f>
        <v>0</v>
      </c>
      <c r="E7" s="141">
        <f>+'hoja de gastos'!D94</f>
        <v>3829</v>
      </c>
      <c r="F7" s="143">
        <f>IFERROR(+E7/C11,0)</f>
        <v>0</v>
      </c>
      <c r="G7" s="143">
        <f>+D7-F7</f>
        <v>0</v>
      </c>
      <c r="H7" s="147">
        <f>+C7-E7</f>
        <v>-3829</v>
      </c>
      <c r="I7" s="150"/>
      <c r="J7" s="150"/>
      <c r="K7" s="150"/>
      <c r="L7" s="150"/>
      <c r="M7" s="151"/>
    </row>
    <row r="8" spans="1:13" s="28" customFormat="1" ht="13.8">
      <c r="A8" s="125"/>
      <c r="B8" s="126" t="s">
        <v>353</v>
      </c>
      <c r="C8" s="135">
        <f>+C11*0.2</f>
        <v>0</v>
      </c>
      <c r="D8" s="164">
        <f>IFERROR(+C8/C13,0)</f>
        <v>0</v>
      </c>
      <c r="E8" s="137"/>
      <c r="F8" s="164"/>
      <c r="G8" s="165"/>
      <c r="H8" s="146"/>
      <c r="I8" s="149"/>
      <c r="J8" s="149"/>
      <c r="K8" s="149"/>
      <c r="L8" s="149"/>
      <c r="M8" s="89"/>
    </row>
    <row r="9" spans="1:13" s="28" customFormat="1" ht="13.8">
      <c r="A9" s="125"/>
      <c r="B9" s="126" t="s">
        <v>349</v>
      </c>
      <c r="C9" s="135">
        <f>+C11*0.05</f>
        <v>0</v>
      </c>
      <c r="D9" s="146"/>
      <c r="E9" s="126"/>
      <c r="F9" s="145"/>
      <c r="G9" s="136"/>
      <c r="H9" s="146"/>
      <c r="I9" s="149"/>
      <c r="J9" s="149"/>
      <c r="K9" s="149"/>
      <c r="L9" s="149"/>
      <c r="M9" s="89"/>
    </row>
    <row r="10" spans="1:13" s="28" customFormat="1" ht="13.8">
      <c r="A10" s="125"/>
      <c r="B10" s="126" t="s">
        <v>350</v>
      </c>
      <c r="C10" s="135">
        <f>+C11*0.05</f>
        <v>0</v>
      </c>
      <c r="D10" s="146"/>
      <c r="E10" s="126"/>
      <c r="F10" s="145"/>
      <c r="G10" s="136"/>
      <c r="H10" s="146"/>
      <c r="I10" s="149"/>
      <c r="J10" s="149"/>
      <c r="K10" s="149"/>
      <c r="L10" s="149"/>
      <c r="M10" s="89"/>
    </row>
    <row r="11" spans="1:13" s="28" customFormat="1" ht="39.9" customHeight="1">
      <c r="A11" s="125"/>
      <c r="B11" s="162"/>
      <c r="C11" s="161">
        <f>+ingresos!H32</f>
        <v>0</v>
      </c>
      <c r="D11" s="160">
        <f>SUM(D5:D7)</f>
        <v>0</v>
      </c>
      <c r="E11" s="163">
        <f>+E5+E6+E7</f>
        <v>15342.41</v>
      </c>
      <c r="F11" s="160">
        <f>SUM(F5:F7)</f>
        <v>0</v>
      </c>
      <c r="G11" s="160">
        <f>SUM(G5:G10)</f>
        <v>0</v>
      </c>
      <c r="H11" s="161">
        <f>+H5+H6+H7</f>
        <v>-15342.41</v>
      </c>
      <c r="I11" s="89"/>
      <c r="J11" s="89"/>
      <c r="K11" s="89"/>
      <c r="L11" s="89"/>
      <c r="M11" s="89"/>
    </row>
    <row r="12" spans="1:13" s="28" customFormat="1" ht="13.8">
      <c r="A12" s="108"/>
      <c r="D12" s="108"/>
      <c r="I12" s="89"/>
      <c r="J12" s="89"/>
      <c r="K12" s="89"/>
      <c r="L12" s="89"/>
      <c r="M12" s="89"/>
    </row>
    <row r="13" spans="1:13" s="28" customFormat="1" ht="13.8">
      <c r="A13" s="108"/>
      <c r="C13" s="138">
        <f>+C5+C6+C7</f>
        <v>0</v>
      </c>
      <c r="D13" s="152"/>
      <c r="E13" s="51"/>
      <c r="I13" s="89"/>
      <c r="J13" s="89"/>
      <c r="K13" s="89"/>
      <c r="L13" s="89"/>
      <c r="M13" s="89"/>
    </row>
    <row r="14" spans="1:13">
      <c r="C14" s="144"/>
      <c r="D14" s="153"/>
    </row>
    <row r="16" spans="1:13">
      <c r="B16" t="s">
        <v>354</v>
      </c>
    </row>
    <row r="17" spans="2:3">
      <c r="B17" t="s">
        <v>356</v>
      </c>
      <c r="C17" s="144">
        <f>+C5*3</f>
        <v>0</v>
      </c>
    </row>
    <row r="18" spans="2:3">
      <c r="B18" t="s">
        <v>357</v>
      </c>
      <c r="C18" s="144">
        <f>+C5*6</f>
        <v>0</v>
      </c>
    </row>
    <row r="19" spans="2:3">
      <c r="C19" s="144"/>
    </row>
  </sheetData>
  <mergeCells count="1">
    <mergeCell ref="B3:B4"/>
  </mergeCells>
  <conditionalFormatting sqref="F5">
    <cfRule type="top10" priority="4" percent="1" rank="50"/>
  </conditionalFormatting>
  <pageMargins left="0.25" right="0.25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A64A530D-62D6-4E8A-84C5-5E1687B8F11B}">
            <x14:iconSet iconSet="3TrafficLights2" custom="1">
              <x14:cfvo type="percent">
                <xm:f>0</xm:f>
              </x14:cfvo>
              <x14:cfvo type="percent">
                <xm:f>50</xm:f>
              </x14:cfvo>
              <x14:cfvo type="percent">
                <xm:f>50</xm:f>
              </x14:cfvo>
              <x14:cfIcon iconSet="3TrafficLights2" iconId="2"/>
              <x14:cfIcon iconSet="3TrafficLights2" iconId="1"/>
              <x14:cfIcon iconSet="3TrafficLights2" iconId="0"/>
            </x14:iconSet>
          </x14:cfRule>
          <xm:sqref>F5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F1402-5E80-43F9-8FC1-E16F0B635728}">
  <sheetPr codeName="Hoja8"/>
  <dimension ref="B1:J64"/>
  <sheetViews>
    <sheetView topLeftCell="A4" workbookViewId="0">
      <selection activeCell="J5" sqref="J5"/>
    </sheetView>
  </sheetViews>
  <sheetFormatPr baseColWidth="10" defaultRowHeight="14.4"/>
  <cols>
    <col min="2" max="2" width="12" customWidth="1"/>
    <col min="3" max="3" width="11.88671875" bestFit="1" customWidth="1"/>
    <col min="4" max="4" width="12" customWidth="1"/>
    <col min="5" max="5" width="12.5546875" bestFit="1" customWidth="1"/>
    <col min="7" max="7" width="12" customWidth="1"/>
    <col min="8" max="8" width="8.6640625" customWidth="1"/>
    <col min="9" max="9" width="14.88671875" bestFit="1" customWidth="1"/>
    <col min="10" max="10" width="12" customWidth="1"/>
  </cols>
  <sheetData>
    <row r="1" spans="2:10">
      <c r="B1" s="451" t="s">
        <v>372</v>
      </c>
      <c r="C1" s="451"/>
      <c r="D1" s="451"/>
      <c r="E1" s="451"/>
      <c r="F1" s="451"/>
      <c r="G1" s="451"/>
      <c r="H1" s="451"/>
      <c r="I1" s="451"/>
      <c r="J1" s="451"/>
    </row>
    <row r="2" spans="2:10">
      <c r="B2" s="451"/>
      <c r="C2" s="451"/>
      <c r="D2" s="451"/>
      <c r="E2" s="451"/>
      <c r="F2" s="451"/>
      <c r="G2" s="451"/>
      <c r="H2" s="451"/>
      <c r="I2" s="451"/>
      <c r="J2" s="451"/>
    </row>
    <row r="4" spans="2:10">
      <c r="B4" s="449" t="s">
        <v>368</v>
      </c>
      <c r="C4" s="449"/>
      <c r="D4" s="449"/>
      <c r="E4" s="449"/>
      <c r="G4" s="450" t="s">
        <v>369</v>
      </c>
      <c r="H4" s="450"/>
      <c r="I4" s="450"/>
      <c r="J4" s="450"/>
    </row>
    <row r="5" spans="2:10">
      <c r="B5" s="123"/>
      <c r="C5" s="123"/>
      <c r="D5" s="340" t="s">
        <v>279</v>
      </c>
      <c r="E5" s="341">
        <f>SUM(E8:E64)</f>
        <v>11187.18</v>
      </c>
      <c r="G5" s="123"/>
      <c r="H5" s="123"/>
      <c r="I5" s="340" t="s">
        <v>279</v>
      </c>
      <c r="J5" s="347">
        <f>SUM(J8:J31)</f>
        <v>15342.41</v>
      </c>
    </row>
    <row r="6" spans="2:10">
      <c r="G6" s="123"/>
      <c r="H6" s="123"/>
      <c r="I6" s="123"/>
      <c r="J6" s="123"/>
    </row>
    <row r="7" spans="2:10" s="3" customFormat="1">
      <c r="B7" s="3" t="s">
        <v>362</v>
      </c>
      <c r="C7" s="168" t="s">
        <v>364</v>
      </c>
      <c r="D7" s="3" t="s">
        <v>276</v>
      </c>
      <c r="E7" s="168" t="s">
        <v>363</v>
      </c>
      <c r="G7" s="3" t="s">
        <v>362</v>
      </c>
      <c r="H7" s="168" t="s">
        <v>364</v>
      </c>
      <c r="I7" s="3" t="s">
        <v>276</v>
      </c>
      <c r="J7" s="168" t="s">
        <v>363</v>
      </c>
    </row>
    <row r="8" spans="2:10">
      <c r="B8" s="166">
        <v>45657</v>
      </c>
      <c r="C8" s="169">
        <f t="shared" ref="C8:C39" si="0">IFERROR(IF(B8="","",MONTH(B8)),"")</f>
        <v>12</v>
      </c>
      <c r="D8" s="169" t="s">
        <v>365</v>
      </c>
      <c r="E8" s="167"/>
      <c r="G8" s="166">
        <v>45322</v>
      </c>
      <c r="H8" s="169">
        <v>1</v>
      </c>
      <c r="I8" s="3" t="str">
        <f>+'hoja de gastos'!$B$4</f>
        <v>servicios</v>
      </c>
      <c r="J8" s="167">
        <f>+'hoja de gastos'!D$16</f>
        <v>2373.04</v>
      </c>
    </row>
    <row r="9" spans="2:10">
      <c r="B9" s="166"/>
      <c r="C9" s="169" t="str">
        <f t="shared" si="0"/>
        <v/>
      </c>
      <c r="D9" s="169" t="str">
        <f t="shared" ref="D9:D11" si="1">+D8</f>
        <v>salario</v>
      </c>
      <c r="E9" s="167"/>
      <c r="G9" s="166">
        <v>45322</v>
      </c>
      <c r="H9" s="169">
        <f>+H8</f>
        <v>1</v>
      </c>
      <c r="I9" s="339" t="str">
        <f>+'hoja de gastos'!A17</f>
        <v>alimentos</v>
      </c>
      <c r="J9" s="345">
        <f>+'hoja de gastos'!D$35</f>
        <v>6601.07</v>
      </c>
    </row>
    <row r="10" spans="2:10">
      <c r="B10" s="166"/>
      <c r="C10" s="169" t="str">
        <f t="shared" si="0"/>
        <v/>
      </c>
      <c r="D10" s="169" t="str">
        <f t="shared" si="1"/>
        <v>salario</v>
      </c>
      <c r="E10" s="167"/>
      <c r="G10" s="166">
        <v>45322</v>
      </c>
      <c r="H10" s="169">
        <f>+H9</f>
        <v>1</v>
      </c>
      <c r="I10" s="339" t="str">
        <f>+'hoja de gastos'!A36</f>
        <v>transportes</v>
      </c>
      <c r="J10" s="167">
        <f>+'hoja de gastos'!D$39</f>
        <v>1026</v>
      </c>
    </row>
    <row r="11" spans="2:10">
      <c r="B11" s="166"/>
      <c r="C11" s="169" t="str">
        <f t="shared" si="0"/>
        <v/>
      </c>
      <c r="D11" s="169" t="str">
        <f t="shared" si="1"/>
        <v>salario</v>
      </c>
      <c r="E11" s="167"/>
      <c r="G11" s="166">
        <v>45322</v>
      </c>
      <c r="H11" s="169">
        <f>+H10</f>
        <v>1</v>
      </c>
      <c r="I11" s="339" t="str">
        <f>+'hoja de gastos'!A41</f>
        <v>salud</v>
      </c>
      <c r="J11" s="167">
        <f>+'hoja de gastos'!D$44</f>
        <v>0</v>
      </c>
    </row>
    <row r="12" spans="2:10">
      <c r="B12" s="166"/>
      <c r="C12" s="169" t="str">
        <f t="shared" si="0"/>
        <v/>
      </c>
      <c r="D12" s="169" t="str">
        <f t="shared" ref="D12:D17" si="2">+D11</f>
        <v>salario</v>
      </c>
      <c r="E12" s="167"/>
      <c r="G12" s="166">
        <v>45322</v>
      </c>
      <c r="H12" s="169">
        <v>1</v>
      </c>
      <c r="I12" s="339" t="str">
        <f>+'hoja de gastos'!A48</f>
        <v>recreacion</v>
      </c>
      <c r="J12" s="167">
        <f>+'hoja de gastos'!D$56</f>
        <v>452</v>
      </c>
    </row>
    <row r="13" spans="2:10">
      <c r="B13" s="166">
        <v>45626</v>
      </c>
      <c r="C13" s="169">
        <f t="shared" si="0"/>
        <v>11</v>
      </c>
      <c r="D13" s="169" t="str">
        <f t="shared" si="2"/>
        <v>salario</v>
      </c>
      <c r="E13" s="167"/>
      <c r="G13" s="166">
        <v>45322</v>
      </c>
      <c r="H13" s="169">
        <v>1</v>
      </c>
      <c r="I13" s="339" t="str">
        <f>+'hoja de gastos'!A57</f>
        <v>g personales</v>
      </c>
      <c r="J13" s="167">
        <f>+'hoja de gastos'!D$68</f>
        <v>1061.3</v>
      </c>
    </row>
    <row r="14" spans="2:10">
      <c r="B14" s="166"/>
      <c r="C14" s="169" t="str">
        <f t="shared" si="0"/>
        <v/>
      </c>
      <c r="D14" s="169" t="str">
        <f t="shared" si="2"/>
        <v>salario</v>
      </c>
      <c r="E14" s="167"/>
      <c r="G14" s="166">
        <v>45322</v>
      </c>
      <c r="H14" s="169">
        <v>1</v>
      </c>
      <c r="I14" s="339" t="str">
        <f>+'hoja de gastos'!A69</f>
        <v>cumpleaños</v>
      </c>
      <c r="J14" s="167">
        <f>+'hoja de gastos'!D$74</f>
        <v>0</v>
      </c>
    </row>
    <row r="15" spans="2:10">
      <c r="B15" s="166"/>
      <c r="C15" s="169" t="str">
        <f t="shared" si="0"/>
        <v/>
      </c>
      <c r="D15" s="169" t="str">
        <f t="shared" si="2"/>
        <v>salario</v>
      </c>
      <c r="E15" s="167"/>
      <c r="G15" s="166">
        <v>45351</v>
      </c>
      <c r="H15" s="169">
        <v>2</v>
      </c>
      <c r="I15" s="3" t="str">
        <f t="shared" ref="I15:I21" si="3">+I8</f>
        <v>servicios</v>
      </c>
      <c r="J15" s="167"/>
    </row>
    <row r="16" spans="2:10">
      <c r="B16" s="166"/>
      <c r="C16" s="169" t="str">
        <f t="shared" si="0"/>
        <v/>
      </c>
      <c r="D16" s="169" t="str">
        <f t="shared" si="2"/>
        <v>salario</v>
      </c>
      <c r="E16" s="167"/>
      <c r="G16" s="166">
        <v>45351</v>
      </c>
      <c r="H16" s="169">
        <v>2</v>
      </c>
      <c r="I16" s="339" t="str">
        <f t="shared" si="3"/>
        <v>alimentos</v>
      </c>
      <c r="J16" s="345"/>
    </row>
    <row r="17" spans="2:10">
      <c r="B17" s="166"/>
      <c r="C17" s="169" t="str">
        <f t="shared" si="0"/>
        <v/>
      </c>
      <c r="D17" s="169" t="str">
        <f t="shared" si="2"/>
        <v>salario</v>
      </c>
      <c r="E17" s="167"/>
      <c r="G17" s="166">
        <v>45351</v>
      </c>
      <c r="H17" s="169">
        <v>2</v>
      </c>
      <c r="I17" s="339" t="str">
        <f t="shared" si="3"/>
        <v>transportes</v>
      </c>
      <c r="J17" s="167"/>
    </row>
    <row r="18" spans="2:10">
      <c r="B18" s="166"/>
      <c r="C18" s="169" t="str">
        <f t="shared" si="0"/>
        <v/>
      </c>
      <c r="D18" s="169" t="s">
        <v>365</v>
      </c>
      <c r="E18" s="167"/>
      <c r="G18" s="166">
        <v>45351</v>
      </c>
      <c r="H18" s="169">
        <v>2</v>
      </c>
      <c r="I18" s="339" t="str">
        <f t="shared" si="3"/>
        <v>salud</v>
      </c>
      <c r="J18" s="167"/>
    </row>
    <row r="19" spans="2:10">
      <c r="B19" s="166">
        <v>45595</v>
      </c>
      <c r="C19" s="169">
        <f t="shared" si="0"/>
        <v>10</v>
      </c>
      <c r="D19" s="169" t="s">
        <v>365</v>
      </c>
      <c r="E19" s="167"/>
      <c r="G19" s="166">
        <v>45351</v>
      </c>
      <c r="H19" s="169">
        <v>2</v>
      </c>
      <c r="I19" s="339" t="str">
        <f t="shared" si="3"/>
        <v>recreacion</v>
      </c>
      <c r="J19" s="167"/>
    </row>
    <row r="20" spans="2:10">
      <c r="B20" s="166"/>
      <c r="C20" s="169" t="str">
        <f t="shared" si="0"/>
        <v/>
      </c>
      <c r="D20" s="169" t="s">
        <v>365</v>
      </c>
      <c r="E20" s="167"/>
      <c r="G20" s="166">
        <v>45351</v>
      </c>
      <c r="H20" s="169">
        <v>2</v>
      </c>
      <c r="I20" s="339" t="str">
        <f t="shared" si="3"/>
        <v>g personales</v>
      </c>
      <c r="J20" s="167"/>
    </row>
    <row r="21" spans="2:10">
      <c r="B21" s="166"/>
      <c r="C21" s="169" t="str">
        <f t="shared" si="0"/>
        <v/>
      </c>
      <c r="D21" s="169" t="s">
        <v>365</v>
      </c>
      <c r="E21" s="167"/>
      <c r="G21" s="166">
        <v>45351</v>
      </c>
      <c r="H21" s="169">
        <v>2</v>
      </c>
      <c r="I21" s="339" t="str">
        <f t="shared" si="3"/>
        <v>cumpleaños</v>
      </c>
      <c r="J21" s="167"/>
    </row>
    <row r="22" spans="2:10">
      <c r="B22" s="166"/>
      <c r="C22" s="169" t="str">
        <f t="shared" si="0"/>
        <v/>
      </c>
      <c r="D22" s="169" t="s">
        <v>365</v>
      </c>
      <c r="E22" s="167"/>
      <c r="G22" s="166">
        <v>45382</v>
      </c>
      <c r="H22" s="169">
        <v>3</v>
      </c>
      <c r="I22" s="3" t="s">
        <v>277</v>
      </c>
      <c r="J22" s="167"/>
    </row>
    <row r="23" spans="2:10">
      <c r="B23" s="166">
        <v>45565</v>
      </c>
      <c r="C23" s="169">
        <f t="shared" si="0"/>
        <v>9</v>
      </c>
      <c r="D23" s="169" t="s">
        <v>365</v>
      </c>
      <c r="E23" s="167"/>
      <c r="G23" s="166">
        <v>45382</v>
      </c>
      <c r="H23" s="169">
        <v>3</v>
      </c>
      <c r="I23" s="339" t="s">
        <v>283</v>
      </c>
      <c r="J23" s="345"/>
    </row>
    <row r="24" spans="2:10">
      <c r="B24" s="166"/>
      <c r="C24" s="169" t="str">
        <f t="shared" si="0"/>
        <v/>
      </c>
      <c r="D24" s="169" t="s">
        <v>365</v>
      </c>
      <c r="E24" s="167"/>
      <c r="G24" s="166">
        <v>45382</v>
      </c>
      <c r="H24" s="169">
        <v>3</v>
      </c>
      <c r="I24" s="339" t="s">
        <v>407</v>
      </c>
      <c r="J24" s="167"/>
    </row>
    <row r="25" spans="2:10">
      <c r="B25" s="166"/>
      <c r="C25" s="169" t="str">
        <f t="shared" si="0"/>
        <v/>
      </c>
      <c r="D25" s="169" t="s">
        <v>365</v>
      </c>
      <c r="E25" s="167"/>
      <c r="G25" s="166">
        <v>45382</v>
      </c>
      <c r="H25" s="169">
        <v>3</v>
      </c>
      <c r="I25" s="339" t="s">
        <v>309</v>
      </c>
      <c r="J25" s="167"/>
    </row>
    <row r="26" spans="2:10">
      <c r="B26" s="166"/>
      <c r="C26" s="169" t="str">
        <f t="shared" si="0"/>
        <v/>
      </c>
      <c r="D26" s="169" t="s">
        <v>365</v>
      </c>
      <c r="E26" s="167"/>
      <c r="G26" s="166">
        <v>45382</v>
      </c>
      <c r="H26" s="169">
        <v>3</v>
      </c>
      <c r="I26" s="339" t="s">
        <v>400</v>
      </c>
      <c r="J26" s="167"/>
    </row>
    <row r="27" spans="2:10">
      <c r="B27" s="166">
        <v>45534</v>
      </c>
      <c r="C27" s="169">
        <f t="shared" si="0"/>
        <v>8</v>
      </c>
      <c r="D27" s="169" t="s">
        <v>365</v>
      </c>
      <c r="E27" s="167"/>
      <c r="G27" s="166">
        <v>45382</v>
      </c>
      <c r="H27" s="169">
        <v>3</v>
      </c>
      <c r="I27" s="339" t="s">
        <v>408</v>
      </c>
      <c r="J27" s="167"/>
    </row>
    <row r="28" spans="2:10">
      <c r="B28" s="166"/>
      <c r="C28" s="169" t="str">
        <f t="shared" si="0"/>
        <v/>
      </c>
      <c r="D28" s="169" t="s">
        <v>365</v>
      </c>
      <c r="E28" s="167"/>
      <c r="G28" s="166">
        <v>45382</v>
      </c>
      <c r="H28" s="169">
        <v>3</v>
      </c>
      <c r="I28" s="339" t="s">
        <v>295</v>
      </c>
      <c r="J28" s="167"/>
    </row>
    <row r="29" spans="2:10">
      <c r="B29" s="166"/>
      <c r="C29" s="169" t="str">
        <f t="shared" si="0"/>
        <v/>
      </c>
      <c r="D29" s="169" t="s">
        <v>365</v>
      </c>
      <c r="E29" s="167"/>
      <c r="G29" s="166">
        <v>45322</v>
      </c>
      <c r="H29" s="169">
        <v>1</v>
      </c>
      <c r="I29" s="339" t="str">
        <f>+'hoja de gastos'!A94</f>
        <v>pago deuda</v>
      </c>
      <c r="J29" s="167">
        <f>+'hoja de gastos'!D$94</f>
        <v>3829</v>
      </c>
    </row>
    <row r="30" spans="2:10">
      <c r="B30" s="166"/>
      <c r="C30" s="169" t="str">
        <f t="shared" si="0"/>
        <v/>
      </c>
      <c r="D30" s="169" t="s">
        <v>365</v>
      </c>
      <c r="E30" s="167"/>
      <c r="G30" s="166">
        <v>45351</v>
      </c>
      <c r="H30" s="169">
        <v>2</v>
      </c>
      <c r="I30" s="3" t="s">
        <v>414</v>
      </c>
      <c r="J30" s="167"/>
    </row>
    <row r="31" spans="2:10">
      <c r="B31" s="166"/>
      <c r="C31" s="169" t="str">
        <f t="shared" si="0"/>
        <v/>
      </c>
      <c r="D31" s="169" t="s">
        <v>365</v>
      </c>
      <c r="E31" s="167"/>
      <c r="G31" s="166">
        <v>45382</v>
      </c>
      <c r="H31" s="169">
        <v>3</v>
      </c>
      <c r="I31" s="3" t="s">
        <v>414</v>
      </c>
      <c r="J31" s="167"/>
    </row>
    <row r="32" spans="2:10">
      <c r="B32" s="166">
        <v>45503</v>
      </c>
      <c r="C32" s="169">
        <f t="shared" si="0"/>
        <v>7</v>
      </c>
      <c r="D32" s="169" t="s">
        <v>365</v>
      </c>
      <c r="E32" s="167"/>
    </row>
    <row r="33" spans="2:5">
      <c r="B33" s="166"/>
      <c r="C33" s="169" t="str">
        <f t="shared" si="0"/>
        <v/>
      </c>
      <c r="D33" s="169" t="s">
        <v>365</v>
      </c>
      <c r="E33" s="167"/>
    </row>
    <row r="34" spans="2:5">
      <c r="B34" s="166"/>
      <c r="C34" s="169" t="str">
        <f t="shared" si="0"/>
        <v/>
      </c>
      <c r="D34" s="169" t="s">
        <v>365</v>
      </c>
      <c r="E34" s="167"/>
    </row>
    <row r="35" spans="2:5">
      <c r="B35" s="166"/>
      <c r="C35" s="169" t="str">
        <f t="shared" si="0"/>
        <v/>
      </c>
      <c r="D35" s="169" t="s">
        <v>365</v>
      </c>
      <c r="E35" s="167"/>
    </row>
    <row r="36" spans="2:5">
      <c r="B36" s="166">
        <v>45473</v>
      </c>
      <c r="C36" s="169">
        <f t="shared" si="0"/>
        <v>6</v>
      </c>
      <c r="D36" s="169" t="s">
        <v>365</v>
      </c>
      <c r="E36" s="167"/>
    </row>
    <row r="37" spans="2:5">
      <c r="B37" s="166"/>
      <c r="C37" s="169" t="str">
        <f t="shared" si="0"/>
        <v/>
      </c>
      <c r="D37" s="169" t="s">
        <v>365</v>
      </c>
      <c r="E37" s="167"/>
    </row>
    <row r="38" spans="2:5">
      <c r="B38" s="166"/>
      <c r="C38" s="169" t="str">
        <f t="shared" si="0"/>
        <v/>
      </c>
      <c r="D38" s="169" t="s">
        <v>365</v>
      </c>
      <c r="E38" s="167"/>
    </row>
    <row r="39" spans="2:5">
      <c r="B39" s="166"/>
      <c r="C39" s="169" t="str">
        <f t="shared" si="0"/>
        <v/>
      </c>
      <c r="D39" s="169" t="s">
        <v>365</v>
      </c>
      <c r="E39" s="167"/>
    </row>
    <row r="40" spans="2:5">
      <c r="B40" s="166">
        <v>45442</v>
      </c>
      <c r="C40" s="169">
        <f t="shared" ref="C40:C71" si="4">IFERROR(IF(B40="","",MONTH(B40)),"")</f>
        <v>5</v>
      </c>
      <c r="D40" s="169" t="s">
        <v>365</v>
      </c>
      <c r="E40" s="167"/>
    </row>
    <row r="41" spans="2:5">
      <c r="B41" s="166"/>
      <c r="C41" s="169" t="str">
        <f t="shared" si="4"/>
        <v/>
      </c>
      <c r="D41" s="169" t="s">
        <v>365</v>
      </c>
      <c r="E41" s="167"/>
    </row>
    <row r="42" spans="2:5">
      <c r="B42" s="166"/>
      <c r="C42" s="169" t="str">
        <f t="shared" si="4"/>
        <v/>
      </c>
      <c r="D42" s="169" t="s">
        <v>365</v>
      </c>
      <c r="E42" s="167"/>
    </row>
    <row r="43" spans="2:5">
      <c r="B43" s="166"/>
      <c r="C43" s="169" t="str">
        <f t="shared" si="4"/>
        <v/>
      </c>
      <c r="D43" s="169" t="s">
        <v>365</v>
      </c>
      <c r="E43" s="167"/>
    </row>
    <row r="44" spans="2:5">
      <c r="B44" s="166"/>
      <c r="C44" s="169" t="str">
        <f t="shared" si="4"/>
        <v/>
      </c>
      <c r="D44" s="169" t="s">
        <v>365</v>
      </c>
      <c r="E44" s="167"/>
    </row>
    <row r="45" spans="2:5">
      <c r="B45" s="166"/>
      <c r="C45" s="169" t="str">
        <f t="shared" si="4"/>
        <v/>
      </c>
      <c r="D45" s="169" t="s">
        <v>365</v>
      </c>
      <c r="E45" s="167"/>
    </row>
    <row r="46" spans="2:5">
      <c r="B46" s="166"/>
      <c r="C46" s="169" t="str">
        <f t="shared" si="4"/>
        <v/>
      </c>
      <c r="D46" s="169" t="s">
        <v>365</v>
      </c>
      <c r="E46" s="167"/>
    </row>
    <row r="47" spans="2:5">
      <c r="B47" s="166"/>
      <c r="C47" s="169" t="str">
        <f t="shared" si="4"/>
        <v/>
      </c>
      <c r="D47" s="169" t="s">
        <v>365</v>
      </c>
      <c r="E47" s="167"/>
    </row>
    <row r="48" spans="2:5">
      <c r="B48" s="166">
        <v>45412</v>
      </c>
      <c r="C48" s="169">
        <f t="shared" si="4"/>
        <v>4</v>
      </c>
      <c r="D48" s="169" t="s">
        <v>365</v>
      </c>
      <c r="E48" s="167"/>
    </row>
    <row r="49" spans="2:5">
      <c r="B49" s="166"/>
      <c r="C49" s="169" t="str">
        <f t="shared" si="4"/>
        <v/>
      </c>
      <c r="D49" s="169" t="s">
        <v>365</v>
      </c>
      <c r="E49" s="167"/>
    </row>
    <row r="50" spans="2:5">
      <c r="B50" s="166"/>
      <c r="C50" s="169" t="str">
        <f t="shared" si="4"/>
        <v/>
      </c>
      <c r="D50" s="169" t="s">
        <v>365</v>
      </c>
      <c r="E50" s="167"/>
    </row>
    <row r="51" spans="2:5">
      <c r="B51" s="166"/>
      <c r="C51" s="169" t="str">
        <f t="shared" si="4"/>
        <v/>
      </c>
      <c r="D51" s="169" t="s">
        <v>365</v>
      </c>
      <c r="E51" s="167"/>
    </row>
    <row r="52" spans="2:5">
      <c r="B52" s="166">
        <v>45382</v>
      </c>
      <c r="C52" s="169">
        <f t="shared" si="4"/>
        <v>3</v>
      </c>
      <c r="D52" s="169" t="s">
        <v>365</v>
      </c>
      <c r="E52" s="167"/>
    </row>
    <row r="53" spans="2:5">
      <c r="B53" s="166"/>
      <c r="C53" s="169" t="str">
        <f t="shared" si="4"/>
        <v/>
      </c>
      <c r="D53" s="169" t="s">
        <v>365</v>
      </c>
      <c r="E53" s="167"/>
    </row>
    <row r="54" spans="2:5">
      <c r="B54" s="166"/>
      <c r="C54" s="169" t="str">
        <f t="shared" si="4"/>
        <v/>
      </c>
      <c r="D54" s="169" t="s">
        <v>365</v>
      </c>
      <c r="E54" s="167"/>
    </row>
    <row r="55" spans="2:5">
      <c r="B55" s="166"/>
      <c r="C55" s="169" t="str">
        <f t="shared" si="4"/>
        <v/>
      </c>
      <c r="D55" s="169" t="s">
        <v>365</v>
      </c>
      <c r="E55" s="167"/>
    </row>
    <row r="56" spans="2:5">
      <c r="B56" s="166"/>
      <c r="C56" s="169" t="str">
        <f t="shared" si="4"/>
        <v/>
      </c>
      <c r="D56" s="169" t="s">
        <v>365</v>
      </c>
      <c r="E56" s="167"/>
    </row>
    <row r="57" spans="2:5">
      <c r="B57" s="166">
        <v>45351</v>
      </c>
      <c r="C57" s="169">
        <f t="shared" si="4"/>
        <v>2</v>
      </c>
      <c r="D57" s="169" t="s">
        <v>365</v>
      </c>
      <c r="E57" s="167"/>
    </row>
    <row r="58" spans="2:5">
      <c r="B58" s="166"/>
      <c r="C58" s="169" t="str">
        <f t="shared" si="4"/>
        <v/>
      </c>
      <c r="D58" s="169" t="s">
        <v>365</v>
      </c>
      <c r="E58" s="167"/>
    </row>
    <row r="59" spans="2:5">
      <c r="B59" s="166"/>
      <c r="C59" s="169" t="str">
        <f t="shared" si="4"/>
        <v/>
      </c>
      <c r="D59" s="169" t="s">
        <v>365</v>
      </c>
      <c r="E59" s="167"/>
    </row>
    <row r="60" spans="2:5">
      <c r="B60" s="166"/>
      <c r="C60" s="169" t="str">
        <f t="shared" si="4"/>
        <v/>
      </c>
      <c r="D60" s="169" t="s">
        <v>365</v>
      </c>
      <c r="E60" s="167"/>
    </row>
    <row r="61" spans="2:5">
      <c r="B61" s="166">
        <v>45321</v>
      </c>
      <c r="C61" s="169" t="str">
        <f>MID(fabi!S2,4,2)</f>
        <v>01</v>
      </c>
      <c r="D61" s="169" t="s">
        <v>365</v>
      </c>
      <c r="E61" s="167">
        <f>+fabi!$CD2</f>
        <v>3244.45</v>
      </c>
    </row>
    <row r="62" spans="2:5">
      <c r="B62" s="166"/>
      <c r="C62" s="169" t="str">
        <f>MID(fabi!S3,4,2)</f>
        <v>01</v>
      </c>
      <c r="D62" s="169" t="s">
        <v>365</v>
      </c>
      <c r="E62" s="167">
        <f>+fabi!$CD3</f>
        <v>2629.09</v>
      </c>
    </row>
    <row r="63" spans="2:5">
      <c r="B63" s="166"/>
      <c r="C63" s="169" t="str">
        <f>MID(fabi!S4,4,2)</f>
        <v>01</v>
      </c>
      <c r="D63" s="169" t="s">
        <v>365</v>
      </c>
      <c r="E63" s="167">
        <f>+fabi!$CD4</f>
        <v>2631.3399999999997</v>
      </c>
    </row>
    <row r="64" spans="2:5">
      <c r="B64" s="166"/>
      <c r="C64" s="169" t="str">
        <f>MID(fabi!S5,4,2)</f>
        <v>01</v>
      </c>
      <c r="D64" s="169" t="s">
        <v>365</v>
      </c>
      <c r="E64" s="167">
        <f>+fabi!$CD5</f>
        <v>2682.3</v>
      </c>
    </row>
  </sheetData>
  <mergeCells count="3">
    <mergeCell ref="B4:E4"/>
    <mergeCell ref="G4:J4"/>
    <mergeCell ref="B1:J2"/>
  </mergeCells>
  <conditionalFormatting sqref="I8">
    <cfRule type="containsText" dxfId="20" priority="21" operator="containsText" text="servicios">
      <formula>NOT(ISERROR(SEARCH("servicios",I8)))</formula>
    </cfRule>
  </conditionalFormatting>
  <conditionalFormatting sqref="I9">
    <cfRule type="containsText" dxfId="19" priority="20" operator="containsText" text="alimentos">
      <formula>NOT(ISERROR(SEARCH("alimentos",I9)))</formula>
    </cfRule>
  </conditionalFormatting>
  <conditionalFormatting sqref="I10">
    <cfRule type="containsText" dxfId="18" priority="19" operator="containsText" text="transporte">
      <formula>NOT(ISERROR(SEARCH("transporte",I10)))</formula>
    </cfRule>
  </conditionalFormatting>
  <conditionalFormatting sqref="I11">
    <cfRule type="containsText" dxfId="17" priority="18" operator="containsText" text="salud">
      <formula>NOT(ISERROR(SEARCH("salud",I11)))</formula>
    </cfRule>
  </conditionalFormatting>
  <conditionalFormatting sqref="I12">
    <cfRule type="containsText" dxfId="16" priority="17" operator="containsText" text="recreacion">
      <formula>NOT(ISERROR(SEARCH("recreacion",I12)))</formula>
    </cfRule>
  </conditionalFormatting>
  <conditionalFormatting sqref="I13">
    <cfRule type="containsText" dxfId="15" priority="16" operator="containsText" text="g personales">
      <formula>NOT(ISERROR(SEARCH("g personales",I13)))</formula>
    </cfRule>
  </conditionalFormatting>
  <conditionalFormatting sqref="I14">
    <cfRule type="containsText" dxfId="14" priority="15" operator="containsText" text="cumpleaños">
      <formula>NOT(ISERROR(SEARCH("cumpleaños",I14)))</formula>
    </cfRule>
  </conditionalFormatting>
  <conditionalFormatting sqref="I15">
    <cfRule type="containsText" dxfId="13" priority="14" operator="containsText" text="servicios">
      <formula>NOT(ISERROR(SEARCH("servicios",I15)))</formula>
    </cfRule>
  </conditionalFormatting>
  <conditionalFormatting sqref="I16">
    <cfRule type="containsText" dxfId="12" priority="13" operator="containsText" text="alimentos">
      <formula>NOT(ISERROR(SEARCH("alimentos",I16)))</formula>
    </cfRule>
  </conditionalFormatting>
  <conditionalFormatting sqref="I17">
    <cfRule type="containsText" dxfId="11" priority="12" operator="containsText" text="transporte">
      <formula>NOT(ISERROR(SEARCH("transporte",I17)))</formula>
    </cfRule>
  </conditionalFormatting>
  <conditionalFormatting sqref="I18">
    <cfRule type="containsText" dxfId="10" priority="11" operator="containsText" text="salud">
      <formula>NOT(ISERROR(SEARCH("salud",I18)))</formula>
    </cfRule>
  </conditionalFormatting>
  <conditionalFormatting sqref="I19">
    <cfRule type="containsText" dxfId="9" priority="10" operator="containsText" text="recreacion">
      <formula>NOT(ISERROR(SEARCH("recreacion",I19)))</formula>
    </cfRule>
  </conditionalFormatting>
  <conditionalFormatting sqref="I20">
    <cfRule type="containsText" dxfId="8" priority="9" operator="containsText" text="g personales">
      <formula>NOT(ISERROR(SEARCH("g personales",I20)))</formula>
    </cfRule>
  </conditionalFormatting>
  <conditionalFormatting sqref="I21">
    <cfRule type="containsText" dxfId="7" priority="8" operator="containsText" text="cumpleaños">
      <formula>NOT(ISERROR(SEARCH("cumpleaños",I21)))</formula>
    </cfRule>
  </conditionalFormatting>
  <conditionalFormatting sqref="I22">
    <cfRule type="containsText" dxfId="6" priority="7" operator="containsText" text="servicios">
      <formula>NOT(ISERROR(SEARCH("servicios",I22)))</formula>
    </cfRule>
  </conditionalFormatting>
  <conditionalFormatting sqref="I23">
    <cfRule type="containsText" dxfId="5" priority="6" operator="containsText" text="alimentos">
      <formula>NOT(ISERROR(SEARCH("alimentos",I23)))</formula>
    </cfRule>
  </conditionalFormatting>
  <conditionalFormatting sqref="I24">
    <cfRule type="containsText" dxfId="4" priority="5" operator="containsText" text="transporte">
      <formula>NOT(ISERROR(SEARCH("transporte",I24)))</formula>
    </cfRule>
  </conditionalFormatting>
  <conditionalFormatting sqref="I25">
    <cfRule type="containsText" dxfId="3" priority="4" operator="containsText" text="salud">
      <formula>NOT(ISERROR(SEARCH("salud",I25)))</formula>
    </cfRule>
  </conditionalFormatting>
  <conditionalFormatting sqref="I26">
    <cfRule type="containsText" dxfId="2" priority="3" operator="containsText" text="recreacion">
      <formula>NOT(ISERROR(SEARCH("recreacion",I26)))</formula>
    </cfRule>
  </conditionalFormatting>
  <conditionalFormatting sqref="I27">
    <cfRule type="containsText" dxfId="1" priority="2" operator="containsText" text="g personales">
      <formula>NOT(ISERROR(SEARCH("g personales",I27)))</formula>
    </cfRule>
  </conditionalFormatting>
  <conditionalFormatting sqref="I28">
    <cfRule type="containsText" dxfId="0" priority="1" operator="containsText" text="cumpleaños">
      <formula>NOT(ISERROR(SEARCH("cumpleaños",I28)))</formula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A0708-3C92-431F-A403-C3435CA23BED}">
  <sheetPr codeName="Hoja9">
    <pageSetUpPr fitToPage="1"/>
  </sheetPr>
  <dimension ref="B2:O58"/>
  <sheetViews>
    <sheetView showGridLines="0" workbookViewId="0">
      <selection activeCell="M21" sqref="M21"/>
    </sheetView>
  </sheetViews>
  <sheetFormatPr baseColWidth="10" defaultColWidth="11.44140625" defaultRowHeight="13.8"/>
  <cols>
    <col min="1" max="1" width="2.6640625" style="105" customWidth="1"/>
    <col min="2" max="2" width="15.77734375" style="105" bestFit="1" customWidth="1"/>
    <col min="3" max="3" width="12.109375" style="105" bestFit="1" customWidth="1"/>
    <col min="4" max="11" width="12.6640625" style="105" customWidth="1"/>
    <col min="12" max="14" width="13.6640625" style="105" bestFit="1" customWidth="1"/>
    <col min="15" max="15" width="12.6640625" style="105" customWidth="1"/>
    <col min="16" max="16384" width="11.44140625" style="105"/>
  </cols>
  <sheetData>
    <row r="2" spans="2:15">
      <c r="B2" s="452" t="s">
        <v>376</v>
      </c>
      <c r="C2" s="171">
        <v>1</v>
      </c>
      <c r="D2" s="171">
        <v>2</v>
      </c>
      <c r="E2" s="171">
        <v>3</v>
      </c>
      <c r="F2" s="171">
        <v>4</v>
      </c>
      <c r="G2" s="171">
        <v>5</v>
      </c>
      <c r="H2" s="171">
        <v>6</v>
      </c>
      <c r="I2" s="171">
        <v>7</v>
      </c>
      <c r="J2" s="171">
        <v>8</v>
      </c>
      <c r="K2" s="171">
        <v>9</v>
      </c>
      <c r="L2" s="171">
        <v>10</v>
      </c>
      <c r="M2" s="171">
        <v>11</v>
      </c>
      <c r="N2" s="171">
        <v>12</v>
      </c>
      <c r="O2" s="452" t="s">
        <v>39</v>
      </c>
    </row>
    <row r="3" spans="2:15">
      <c r="B3" s="453"/>
      <c r="C3" s="172" t="s">
        <v>20</v>
      </c>
      <c r="D3" s="172" t="s">
        <v>21</v>
      </c>
      <c r="E3" s="172" t="s">
        <v>22</v>
      </c>
      <c r="F3" s="172" t="s">
        <v>23</v>
      </c>
      <c r="G3" s="172" t="s">
        <v>24</v>
      </c>
      <c r="H3" s="172" t="s">
        <v>25</v>
      </c>
      <c r="I3" s="173" t="s">
        <v>26</v>
      </c>
      <c r="J3" s="173" t="s">
        <v>27</v>
      </c>
      <c r="K3" s="173" t="s">
        <v>16</v>
      </c>
      <c r="L3" s="173" t="s">
        <v>17</v>
      </c>
      <c r="M3" s="173" t="s">
        <v>18</v>
      </c>
      <c r="N3" s="173" t="s">
        <v>19</v>
      </c>
      <c r="O3" s="453"/>
    </row>
    <row r="4" spans="2:15">
      <c r="B4" s="179" t="s">
        <v>366</v>
      </c>
      <c r="C4" s="177">
        <f>SUMIF(detalle!$C$8:$C$94,concentrado!C$2,detalle!$E$8:$E$94)</f>
        <v>11187.18</v>
      </c>
      <c r="D4" s="177">
        <f>SUMIF(detalle!$C$8:$C$94,concentrado!D$2,detalle!$E$8:$E$94)</f>
        <v>0</v>
      </c>
      <c r="E4" s="177">
        <f>SUMIF(detalle!$C$8:$C$94,concentrado!E$2,detalle!$E$8:$E$94)</f>
        <v>0</v>
      </c>
      <c r="F4" s="177">
        <f>SUMIF(detalle!$C$8:$C$94,concentrado!F$2,detalle!$E$8:$E$94)</f>
        <v>0</v>
      </c>
      <c r="G4" s="177">
        <f>SUMIF(detalle!$C$8:$C$94,concentrado!G$2,detalle!$E$8:$E$94)</f>
        <v>0</v>
      </c>
      <c r="H4" s="177">
        <f>SUMIF(detalle!$C$8:$C$94,concentrado!H$2,detalle!$E$8:$E$94)</f>
        <v>0</v>
      </c>
      <c r="I4" s="177">
        <f>SUMIF(detalle!$C$8:$C$94,concentrado!I$2,detalle!$E$8:$E$94)</f>
        <v>0</v>
      </c>
      <c r="J4" s="177">
        <f>SUMIF(detalle!$C$8:$C$94,concentrado!J$2,detalle!$E$8:$E$94)</f>
        <v>0</v>
      </c>
      <c r="K4" s="177">
        <f>SUMIF(detalle!$C$8:$C$94,concentrado!K$2,detalle!$E$8:$E$94)</f>
        <v>0</v>
      </c>
      <c r="L4" s="177">
        <f>SUMIF(detalle!$C$8:$C$94,concentrado!L$2,detalle!$E$8:$E$94)</f>
        <v>0</v>
      </c>
      <c r="M4" s="177">
        <f>SUMIF(detalle!$C$8:$C$94,concentrado!M$2,detalle!$E$8:$E$94)</f>
        <v>0</v>
      </c>
      <c r="N4" s="177">
        <f>SUMIF(detalle!$C$8:$C$94,concentrado!N$2,detalle!$E$8:$E$94)</f>
        <v>0</v>
      </c>
      <c r="O4" s="177">
        <f>SUM(C4:N4)</f>
        <v>11187.18</v>
      </c>
    </row>
    <row r="5" spans="2:15">
      <c r="B5" s="179" t="s">
        <v>367</v>
      </c>
      <c r="C5" s="177">
        <f>SUMIF(detalle!$H$8:$H$50,concentrado!C$2,detalle!$J$8:$J$50)</f>
        <v>15342.41</v>
      </c>
      <c r="D5" s="177">
        <f>SUMIF(detalle!$H$8:$H$50,concentrado!D$2,detalle!$J$8:$J$50)</f>
        <v>0</v>
      </c>
      <c r="E5" s="177">
        <f>SUMIF(detalle!$H$8:$H$50,concentrado!E$2,detalle!$J$8:$J$50)</f>
        <v>0</v>
      </c>
      <c r="F5" s="177">
        <f>SUMIF(detalle!$H$8:$H$50,concentrado!F$2,detalle!$J$8:$J$50)</f>
        <v>0</v>
      </c>
      <c r="G5" s="177">
        <f>SUMIF(detalle!$H$8:$H$50,concentrado!G$2,detalle!$J$8:$J$50)</f>
        <v>0</v>
      </c>
      <c r="H5" s="177">
        <f>SUMIF(detalle!$H$8:$H$50,concentrado!H$2,detalle!$J$8:$J$50)</f>
        <v>0</v>
      </c>
      <c r="I5" s="177">
        <f>SUMIF(detalle!$H$8:$H$50,concentrado!I$2,detalle!$J$8:$J$50)</f>
        <v>0</v>
      </c>
      <c r="J5" s="177">
        <f>SUMIF(detalle!$H$8:$H$50,concentrado!J$2,detalle!$J$8:$J$50)</f>
        <v>0</v>
      </c>
      <c r="K5" s="177">
        <f>SUMIF(detalle!$H$8:$H$50,concentrado!K$2,detalle!$J$8:$J$50)</f>
        <v>0</v>
      </c>
      <c r="L5" s="177">
        <f>SUMIF(detalle!$H$8:$H$50,concentrado!L$2,detalle!$J$8:$J$50)</f>
        <v>0</v>
      </c>
      <c r="M5" s="177">
        <f>SUMIF(detalle!$H$8:$H$50,concentrado!M$2,detalle!$J$8:$J$50)</f>
        <v>0</v>
      </c>
      <c r="N5" s="177">
        <f>SUMIF(detalle!$H$8:$H$50,concentrado!N$2,detalle!$J$8:$J$50)</f>
        <v>0</v>
      </c>
      <c r="O5" s="177">
        <f>SUM(C5:N5)</f>
        <v>15342.41</v>
      </c>
    </row>
    <row r="6" spans="2:15">
      <c r="B6" s="179" t="s">
        <v>370</v>
      </c>
      <c r="C6" s="177">
        <f t="shared" ref="C6:N6" si="0">+C4-C5</f>
        <v>-4155.2299999999996</v>
      </c>
      <c r="D6" s="177">
        <f t="shared" si="0"/>
        <v>0</v>
      </c>
      <c r="E6" s="177">
        <f t="shared" si="0"/>
        <v>0</v>
      </c>
      <c r="F6" s="177">
        <f t="shared" si="0"/>
        <v>0</v>
      </c>
      <c r="G6" s="177">
        <f t="shared" si="0"/>
        <v>0</v>
      </c>
      <c r="H6" s="177">
        <f t="shared" si="0"/>
        <v>0</v>
      </c>
      <c r="I6" s="177">
        <f t="shared" si="0"/>
        <v>0</v>
      </c>
      <c r="J6" s="177">
        <f t="shared" si="0"/>
        <v>0</v>
      </c>
      <c r="K6" s="177">
        <f t="shared" si="0"/>
        <v>0</v>
      </c>
      <c r="L6" s="177">
        <f t="shared" si="0"/>
        <v>0</v>
      </c>
      <c r="M6" s="177">
        <f t="shared" si="0"/>
        <v>0</v>
      </c>
      <c r="N6" s="177">
        <f t="shared" si="0"/>
        <v>0</v>
      </c>
      <c r="O6" s="177">
        <f>SUM(C6:N6)</f>
        <v>-4155.2299999999996</v>
      </c>
    </row>
    <row r="7" spans="2:15">
      <c r="B7" s="179" t="s">
        <v>371</v>
      </c>
      <c r="C7" s="177">
        <f>+C6</f>
        <v>-4155.2299999999996</v>
      </c>
      <c r="D7" s="177">
        <f>+C7+D6</f>
        <v>-4155.2299999999996</v>
      </c>
      <c r="E7" s="177">
        <f t="shared" ref="E7:N7" si="1">+D7+E6</f>
        <v>-4155.2299999999996</v>
      </c>
      <c r="F7" s="177">
        <f t="shared" si="1"/>
        <v>-4155.2299999999996</v>
      </c>
      <c r="G7" s="177">
        <f t="shared" si="1"/>
        <v>-4155.2299999999996</v>
      </c>
      <c r="H7" s="177">
        <f t="shared" si="1"/>
        <v>-4155.2299999999996</v>
      </c>
      <c r="I7" s="177">
        <f t="shared" si="1"/>
        <v>-4155.2299999999996</v>
      </c>
      <c r="J7" s="177">
        <f t="shared" si="1"/>
        <v>-4155.2299999999996</v>
      </c>
      <c r="K7" s="177">
        <f t="shared" si="1"/>
        <v>-4155.2299999999996</v>
      </c>
      <c r="L7" s="177">
        <f t="shared" si="1"/>
        <v>-4155.2299999999996</v>
      </c>
      <c r="M7" s="177">
        <f t="shared" si="1"/>
        <v>-4155.2299999999996</v>
      </c>
      <c r="N7" s="177">
        <f t="shared" si="1"/>
        <v>-4155.2299999999996</v>
      </c>
      <c r="O7" s="178"/>
    </row>
    <row r="14" spans="2:15">
      <c r="B14" s="174" t="s">
        <v>374</v>
      </c>
      <c r="C14" s="105" t="s">
        <v>373</v>
      </c>
    </row>
    <row r="15" spans="2:15">
      <c r="B15" s="175" t="s">
        <v>365</v>
      </c>
      <c r="C15" s="176"/>
    </row>
    <row r="16" spans="2:15">
      <c r="B16" s="181" t="s">
        <v>517</v>
      </c>
      <c r="C16" s="176"/>
    </row>
    <row r="17" spans="2:3">
      <c r="B17" s="181" t="s">
        <v>518</v>
      </c>
      <c r="C17" s="176"/>
    </row>
    <row r="18" spans="2:3">
      <c r="B18" s="181" t="s">
        <v>278</v>
      </c>
      <c r="C18" s="176">
        <v>11187.18</v>
      </c>
    </row>
    <row r="19" spans="2:3">
      <c r="B19" s="181">
        <v>12</v>
      </c>
      <c r="C19" s="176"/>
    </row>
    <row r="20" spans="2:3">
      <c r="B20" s="181"/>
      <c r="C20" s="176"/>
    </row>
    <row r="21" spans="2:3">
      <c r="B21" s="181">
        <v>11</v>
      </c>
      <c r="C21" s="176"/>
    </row>
    <row r="22" spans="2:3">
      <c r="B22" s="181">
        <v>10</v>
      </c>
      <c r="C22" s="176"/>
    </row>
    <row r="23" spans="2:3">
      <c r="B23" s="181">
        <v>9</v>
      </c>
      <c r="C23" s="176"/>
    </row>
    <row r="24" spans="2:3">
      <c r="B24" s="181">
        <v>8</v>
      </c>
      <c r="C24" s="176"/>
    </row>
    <row r="25" spans="2:3">
      <c r="B25" s="181">
        <v>7</v>
      </c>
      <c r="C25" s="176"/>
    </row>
    <row r="26" spans="2:3">
      <c r="B26" s="181">
        <v>6</v>
      </c>
      <c r="C26" s="176"/>
    </row>
    <row r="27" spans="2:3">
      <c r="B27" s="181">
        <v>5</v>
      </c>
      <c r="C27" s="176"/>
    </row>
    <row r="28" spans="2:3">
      <c r="B28" s="181">
        <v>4</v>
      </c>
      <c r="C28" s="176"/>
    </row>
    <row r="29" spans="2:3">
      <c r="B29" s="175" t="s">
        <v>377</v>
      </c>
      <c r="C29" s="176">
        <v>11187.18</v>
      </c>
    </row>
    <row r="30" spans="2:3">
      <c r="B30" s="175" t="s">
        <v>375</v>
      </c>
      <c r="C30" s="176">
        <v>11187.18</v>
      </c>
    </row>
    <row r="40" spans="2:3">
      <c r="B40" s="175"/>
      <c r="C40" s="176"/>
    </row>
    <row r="41" spans="2:3">
      <c r="B41" s="175"/>
      <c r="C41" s="176"/>
    </row>
    <row r="42" spans="2:3">
      <c r="B42" s="174" t="s">
        <v>374</v>
      </c>
      <c r="C42" s="105" t="s">
        <v>373</v>
      </c>
    </row>
    <row r="43" spans="2:3">
      <c r="B43" s="175" t="s">
        <v>21</v>
      </c>
      <c r="C43" s="342"/>
    </row>
    <row r="44" spans="2:3">
      <c r="B44" s="175" t="s">
        <v>375</v>
      </c>
      <c r="C44" s="342"/>
    </row>
    <row r="45" spans="2:3" ht="14.4">
      <c r="B45"/>
      <c r="C45"/>
    </row>
    <row r="46" spans="2:3" ht="14.4">
      <c r="B46"/>
      <c r="C46"/>
    </row>
    <row r="47" spans="2:3" ht="14.4">
      <c r="B47"/>
      <c r="C47"/>
    </row>
    <row r="48" spans="2:3" ht="14.4">
      <c r="B48"/>
      <c r="C48"/>
    </row>
    <row r="49" spans="2:6" ht="14.4">
      <c r="B49"/>
      <c r="C49"/>
    </row>
    <row r="50" spans="2:6" ht="14.4">
      <c r="B50"/>
      <c r="C50"/>
    </row>
    <row r="51" spans="2:6" ht="14.4">
      <c r="B51"/>
      <c r="C51"/>
    </row>
    <row r="52" spans="2:6" ht="14.4">
      <c r="B52"/>
      <c r="C52"/>
    </row>
    <row r="58" spans="2:6">
      <c r="F58" s="180">
        <f>+GETPIVOTDATA("valor",$B$14)-GETPIVOTDATA("valor",$B$42)</f>
        <v>11187.18</v>
      </c>
    </row>
  </sheetData>
  <mergeCells count="2">
    <mergeCell ref="B2:B3"/>
    <mergeCell ref="O2:O3"/>
  </mergeCells>
  <conditionalFormatting sqref="C6:N6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C7:N7">
    <cfRule type="iconSet" priority="1">
      <iconSet iconSet="3Arrows">
        <cfvo type="percent" val="0"/>
        <cfvo type="num" val="0"/>
        <cfvo type="num" val="0"/>
      </iconSet>
    </cfRule>
  </conditionalFormatting>
  <pageMargins left="0.25" right="0.25" top="0.75" bottom="0.75" header="0.3" footer="0.3"/>
  <pageSetup paperSize="5" scale="59" orientation="landscape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9A3B3-DB4C-4B9B-9CC9-FA2ABBEBA881}">
  <sheetPr codeName="Hoja10"/>
  <dimension ref="A1:D7"/>
  <sheetViews>
    <sheetView workbookViewId="0">
      <selection activeCell="I18" sqref="I18"/>
    </sheetView>
  </sheetViews>
  <sheetFormatPr baseColWidth="10" defaultColWidth="11.44140625" defaultRowHeight="23.4"/>
  <cols>
    <col min="1" max="2" width="19.44140625" style="8" bestFit="1" customWidth="1"/>
    <col min="3" max="3" width="16.88671875" style="8" bestFit="1" customWidth="1"/>
    <col min="4" max="4" width="11.88671875" style="5" bestFit="1" customWidth="1"/>
    <col min="5" max="7" width="11.44140625" style="8"/>
    <col min="8" max="8" width="13.33203125" style="8" bestFit="1" customWidth="1"/>
    <col min="9" max="16384" width="11.44140625" style="8"/>
  </cols>
  <sheetData>
    <row r="1" spans="1:4" s="5" customFormat="1">
      <c r="A1" s="4" t="s">
        <v>10</v>
      </c>
      <c r="B1" s="4" t="s">
        <v>11</v>
      </c>
      <c r="C1" s="4" t="s">
        <v>12</v>
      </c>
      <c r="D1" s="4" t="s">
        <v>13</v>
      </c>
    </row>
    <row r="2" spans="1:4">
      <c r="A2" s="6">
        <v>0.01</v>
      </c>
      <c r="B2" s="6">
        <v>25000</v>
      </c>
      <c r="C2" s="6">
        <v>0</v>
      </c>
      <c r="D2" s="7">
        <v>1</v>
      </c>
    </row>
    <row r="3" spans="1:4">
      <c r="A3" s="6">
        <v>25000.01</v>
      </c>
      <c r="B3" s="6">
        <v>50000</v>
      </c>
      <c r="C3" s="6">
        <v>0</v>
      </c>
      <c r="D3" s="7">
        <v>1.1000000000000001</v>
      </c>
    </row>
    <row r="4" spans="1:4">
      <c r="A4" s="6">
        <v>50000.01</v>
      </c>
      <c r="B4" s="6">
        <v>83333.33</v>
      </c>
      <c r="C4" s="6">
        <v>0</v>
      </c>
      <c r="D4" s="7">
        <v>1.5</v>
      </c>
    </row>
    <row r="5" spans="1:4">
      <c r="A5" s="6">
        <v>83333.34</v>
      </c>
      <c r="B5" s="6">
        <v>208333.33</v>
      </c>
      <c r="C5" s="6">
        <v>0</v>
      </c>
      <c r="D5" s="7">
        <v>2</v>
      </c>
    </row>
    <row r="6" spans="1:4">
      <c r="A6" s="6">
        <v>208333.34</v>
      </c>
      <c r="B6" s="6">
        <v>3500000</v>
      </c>
      <c r="C6" s="6">
        <v>0</v>
      </c>
      <c r="D6" s="7">
        <v>2.5</v>
      </c>
    </row>
    <row r="7" spans="1:4">
      <c r="A7" s="6">
        <v>3500000.01</v>
      </c>
      <c r="B7" s="6" t="s">
        <v>30</v>
      </c>
      <c r="C7" s="6">
        <v>0</v>
      </c>
      <c r="D7" s="7">
        <v>2.5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5B164-AF9C-487B-826D-F823CB3C5CC0}">
  <sheetPr codeName="Hoja11"/>
  <dimension ref="A1:K28"/>
  <sheetViews>
    <sheetView workbookViewId="0">
      <selection activeCell="I3" sqref="I3"/>
    </sheetView>
  </sheetViews>
  <sheetFormatPr baseColWidth="10" defaultColWidth="8.88671875" defaultRowHeight="14.4"/>
  <cols>
    <col min="1" max="1" width="6" customWidth="1"/>
    <col min="2" max="2" width="12" customWidth="1"/>
    <col min="3" max="3" width="30" customWidth="1"/>
    <col min="4" max="4" width="14" customWidth="1"/>
    <col min="5" max="5" width="12" customWidth="1"/>
    <col min="8" max="11" width="13" customWidth="1"/>
  </cols>
  <sheetData>
    <row r="1" spans="1:11">
      <c r="A1" s="1" t="s">
        <v>441</v>
      </c>
    </row>
    <row r="2" spans="1:11">
      <c r="A2" s="2" t="s">
        <v>442</v>
      </c>
      <c r="H2" s="3" t="s">
        <v>443</v>
      </c>
    </row>
    <row r="3" spans="1:11" ht="23.4">
      <c r="H3" s="4" t="s">
        <v>184</v>
      </c>
      <c r="I3" s="5">
        <v>5</v>
      </c>
    </row>
    <row r="4" spans="1:11" ht="23.4">
      <c r="A4" s="6" t="s">
        <v>438</v>
      </c>
      <c r="B4" s="6" t="s">
        <v>444</v>
      </c>
      <c r="C4" s="6" t="s">
        <v>190</v>
      </c>
      <c r="D4" s="6" t="s">
        <v>445</v>
      </c>
      <c r="E4" s="6" t="s">
        <v>446</v>
      </c>
    </row>
    <row r="5" spans="1:11" ht="23.4">
      <c r="B5" t="s">
        <v>447</v>
      </c>
      <c r="C5" t="s">
        <v>448</v>
      </c>
      <c r="D5">
        <v>0</v>
      </c>
      <c r="E5" t="s">
        <v>449</v>
      </c>
      <c r="H5" s="7" t="s">
        <v>444</v>
      </c>
      <c r="I5" s="7" t="s">
        <v>204</v>
      </c>
      <c r="J5" s="7" t="s">
        <v>450</v>
      </c>
      <c r="K5" s="7" t="s">
        <v>451</v>
      </c>
    </row>
    <row r="6" spans="1:11" ht="23.4">
      <c r="B6" t="s">
        <v>447</v>
      </c>
      <c r="C6" t="s">
        <v>452</v>
      </c>
      <c r="D6">
        <v>0</v>
      </c>
      <c r="E6" t="s">
        <v>449</v>
      </c>
      <c r="H6" s="8" t="s">
        <v>447</v>
      </c>
      <c r="I6" s="9">
        <f>SUMIFS($D$5:$D$504,$B$5:$B$504,"Basico",$A$5:$A$504,$I$3)</f>
        <v>0</v>
      </c>
      <c r="J6" s="10">
        <f>IFERROR(I6/$I$9,0)</f>
        <v>0</v>
      </c>
      <c r="K6" s="11">
        <v>0.5</v>
      </c>
    </row>
    <row r="7" spans="1:11" ht="23.4">
      <c r="B7" t="s">
        <v>447</v>
      </c>
      <c r="C7" t="s">
        <v>453</v>
      </c>
      <c r="D7">
        <v>0</v>
      </c>
      <c r="E7" t="s">
        <v>449</v>
      </c>
      <c r="H7" s="8" t="s">
        <v>454</v>
      </c>
      <c r="I7" s="9">
        <f>SUMIFS($D$5:$D$504,$B$5:$B$504,"Lujo",$A$5:$A$504,$I$3)</f>
        <v>0</v>
      </c>
      <c r="J7" s="10">
        <f>IFERROR(I7/$I$9,0)</f>
        <v>0</v>
      </c>
      <c r="K7" s="11">
        <v>0.2</v>
      </c>
    </row>
    <row r="8" spans="1:11" ht="23.4">
      <c r="B8" t="s">
        <v>447</v>
      </c>
      <c r="C8" t="s">
        <v>218</v>
      </c>
      <c r="D8">
        <v>0</v>
      </c>
      <c r="E8" t="s">
        <v>449</v>
      </c>
      <c r="H8" s="8" t="s">
        <v>455</v>
      </c>
      <c r="I8" s="9">
        <f>SUMIFS($D$5:$D$504,$B$5:$B$504,"Ahorro",$A$5:$A$504,$I$3)</f>
        <v>0</v>
      </c>
      <c r="J8" s="10">
        <f>IFERROR(I8/$I$9,0)</f>
        <v>0</v>
      </c>
      <c r="K8" s="11">
        <v>0.3</v>
      </c>
    </row>
    <row r="9" spans="1:11">
      <c r="B9" t="s">
        <v>447</v>
      </c>
      <c r="C9" t="s">
        <v>456</v>
      </c>
      <c r="D9">
        <v>0</v>
      </c>
      <c r="E9" t="s">
        <v>449</v>
      </c>
      <c r="H9" s="12" t="s">
        <v>39</v>
      </c>
      <c r="I9" s="13">
        <f>SUM(I6:I8)</f>
        <v>0</v>
      </c>
    </row>
    <row r="10" spans="1:11">
      <c r="B10" t="s">
        <v>447</v>
      </c>
      <c r="C10" t="s">
        <v>457</v>
      </c>
      <c r="D10">
        <v>0</v>
      </c>
      <c r="E10" t="s">
        <v>449</v>
      </c>
    </row>
    <row r="11" spans="1:11">
      <c r="B11" t="s">
        <v>447</v>
      </c>
      <c r="C11" t="s">
        <v>458</v>
      </c>
      <c r="D11">
        <v>0</v>
      </c>
      <c r="E11" t="s">
        <v>449</v>
      </c>
    </row>
    <row r="12" spans="1:11">
      <c r="B12" t="s">
        <v>447</v>
      </c>
      <c r="C12" t="s">
        <v>459</v>
      </c>
      <c r="D12">
        <v>0</v>
      </c>
      <c r="E12" t="s">
        <v>449</v>
      </c>
    </row>
    <row r="13" spans="1:11">
      <c r="B13" t="s">
        <v>447</v>
      </c>
      <c r="C13" t="s">
        <v>460</v>
      </c>
      <c r="D13">
        <v>0</v>
      </c>
      <c r="E13" t="s">
        <v>449</v>
      </c>
    </row>
    <row r="14" spans="1:11">
      <c r="B14" t="s">
        <v>447</v>
      </c>
      <c r="C14" t="s">
        <v>461</v>
      </c>
      <c r="D14">
        <v>0</v>
      </c>
      <c r="E14" t="s">
        <v>449</v>
      </c>
    </row>
    <row r="15" spans="1:11">
      <c r="B15" t="s">
        <v>447</v>
      </c>
      <c r="C15" t="s">
        <v>462</v>
      </c>
      <c r="D15">
        <v>0</v>
      </c>
      <c r="E15" t="s">
        <v>449</v>
      </c>
    </row>
    <row r="16" spans="1:11">
      <c r="B16" t="s">
        <v>447</v>
      </c>
      <c r="C16" t="s">
        <v>463</v>
      </c>
      <c r="D16">
        <v>0</v>
      </c>
      <c r="E16" t="s">
        <v>449</v>
      </c>
    </row>
    <row r="17" spans="2:5">
      <c r="B17" t="s">
        <v>447</v>
      </c>
      <c r="C17" t="s">
        <v>464</v>
      </c>
      <c r="D17">
        <v>0</v>
      </c>
      <c r="E17" t="s">
        <v>449</v>
      </c>
    </row>
    <row r="18" spans="2:5">
      <c r="B18" t="s">
        <v>454</v>
      </c>
      <c r="C18" t="s">
        <v>465</v>
      </c>
      <c r="D18">
        <v>0</v>
      </c>
      <c r="E18" t="s">
        <v>449</v>
      </c>
    </row>
    <row r="19" spans="2:5">
      <c r="B19" t="s">
        <v>454</v>
      </c>
      <c r="C19" t="s">
        <v>466</v>
      </c>
      <c r="D19">
        <v>0</v>
      </c>
      <c r="E19" t="s">
        <v>449</v>
      </c>
    </row>
    <row r="20" spans="2:5">
      <c r="B20" t="s">
        <v>454</v>
      </c>
      <c r="C20" t="s">
        <v>467</v>
      </c>
      <c r="D20">
        <v>0</v>
      </c>
      <c r="E20" t="s">
        <v>449</v>
      </c>
    </row>
    <row r="21" spans="2:5">
      <c r="B21" t="s">
        <v>454</v>
      </c>
      <c r="C21" t="s">
        <v>468</v>
      </c>
      <c r="D21">
        <v>0</v>
      </c>
      <c r="E21" t="s">
        <v>449</v>
      </c>
    </row>
    <row r="22" spans="2:5">
      <c r="B22" t="s">
        <v>454</v>
      </c>
      <c r="C22" t="s">
        <v>469</v>
      </c>
      <c r="D22">
        <v>0</v>
      </c>
      <c r="E22" t="s">
        <v>449</v>
      </c>
    </row>
    <row r="23" spans="2:5">
      <c r="B23" t="s">
        <v>454</v>
      </c>
      <c r="C23" t="s">
        <v>470</v>
      </c>
      <c r="D23">
        <v>0</v>
      </c>
      <c r="E23" t="s">
        <v>449</v>
      </c>
    </row>
    <row r="24" spans="2:5">
      <c r="B24" t="s">
        <v>454</v>
      </c>
      <c r="C24" t="s">
        <v>471</v>
      </c>
      <c r="D24">
        <v>0</v>
      </c>
      <c r="E24" t="s">
        <v>449</v>
      </c>
    </row>
    <row r="25" spans="2:5">
      <c r="B25" t="s">
        <v>455</v>
      </c>
      <c r="C25" t="s">
        <v>472</v>
      </c>
      <c r="D25">
        <v>0</v>
      </c>
      <c r="E25" t="s">
        <v>449</v>
      </c>
    </row>
    <row r="26" spans="2:5">
      <c r="B26" t="s">
        <v>455</v>
      </c>
      <c r="C26" t="s">
        <v>473</v>
      </c>
      <c r="D26">
        <v>0</v>
      </c>
      <c r="E26" t="s">
        <v>449</v>
      </c>
    </row>
    <row r="27" spans="2:5">
      <c r="B27" t="s">
        <v>455</v>
      </c>
      <c r="C27" t="s">
        <v>474</v>
      </c>
      <c r="D27">
        <v>0</v>
      </c>
      <c r="E27" t="s">
        <v>449</v>
      </c>
    </row>
    <row r="28" spans="2:5">
      <c r="B28" t="s">
        <v>455</v>
      </c>
      <c r="C28" t="s">
        <v>475</v>
      </c>
      <c r="D28">
        <v>0</v>
      </c>
      <c r="E28" t="s">
        <v>449</v>
      </c>
    </row>
  </sheetData>
  <dataValidations count="3">
    <dataValidation type="list" allowBlank="1" sqref="B5:B504" xr:uid="{00000000-0002-0000-0900-000000000000}">
      <formula1>"Basico,Lujo,Ahorro"</formula1>
    </dataValidation>
    <dataValidation type="list" allowBlank="1" sqref="E5:E504" xr:uid="{00000000-0002-0000-0900-000001000000}">
      <formula1>"Manual,XML"</formula1>
    </dataValidation>
    <dataValidation type="list" allowBlank="1" sqref="A5:A504 I3" xr:uid="{00000000-0002-0000-0900-000002000000}">
      <formula1>"1,2,3,4,5,6,7,8,9,10,11,12"</formula1>
    </dataValidation>
  </dataValidations>
  <pageMargins left="0.75" right="0.75" top="1" bottom="1" header="0.5" footer="0.5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CD68A0B-9258-411E-92DB-AC8FD0E640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7</vt:i4>
      </vt:variant>
    </vt:vector>
  </HeadingPairs>
  <TitlesOfParts>
    <vt:vector size="19" baseType="lpstr">
      <vt:lpstr>Consulta1</vt:lpstr>
      <vt:lpstr>CFDI</vt:lpstr>
      <vt:lpstr>DASHBOARD</vt:lpstr>
      <vt:lpstr>fabi</vt:lpstr>
      <vt:lpstr>ingresos</vt:lpstr>
      <vt:lpstr>hoja de gastos</vt:lpstr>
      <vt:lpstr>presupuesto</vt:lpstr>
      <vt:lpstr>REGLA DE ORO</vt:lpstr>
      <vt:lpstr>detalle</vt:lpstr>
      <vt:lpstr>concentrado</vt:lpstr>
      <vt:lpstr>tabulador</vt:lpstr>
      <vt:lpstr>Gastos captura</vt:lpstr>
      <vt:lpstr>entradas</vt:lpstr>
      <vt:lpstr>gastos</vt:lpstr>
      <vt:lpstr>ingresos</vt:lpstr>
      <vt:lpstr>RFCList</vt:lpstr>
      <vt:lpstr>salidas</vt:lpstr>
      <vt:lpstr>salidas1</vt:lpstr>
      <vt:lpstr>tarifa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 murillo</dc:creator>
  <cp:lastModifiedBy>DELL</cp:lastModifiedBy>
  <cp:lastPrinted>2024-04-02T21:24:58Z</cp:lastPrinted>
  <dcterms:created xsi:type="dcterms:W3CDTF">2022-02-11T04:55:45Z</dcterms:created>
  <dcterms:modified xsi:type="dcterms:W3CDTF">2026-07-26T03:30:15Z</dcterms:modified>
</cp:coreProperties>
</file>