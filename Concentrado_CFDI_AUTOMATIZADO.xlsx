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DASHBOARD" sheetId="33" r:id="rId20"/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  <sheet name="Gastos captura" sheetId="34" r:id="rId21"/>
  </sheets>
  <definedNames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<sst xmlns="http://schemas.openxmlformats.org/spreadsheetml/2006/main" count="611" uniqueCount="431">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</sst>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Relationship Id="rId20" Type="http://schemas.openxmlformats.org/officeDocument/2006/relationships/worksheet" Target="worksheets/sheet9.xml"/><Relationship Id="rId21" Type="http://schemas.openxmlformats.org/officeDocument/2006/relationships/worksheet" Target="worksheets/sheet1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Percepciones vs Deducciones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'DASHBOARD'!$B$12:$B$23</f>
            </numRef>
          </val>
        </ser>
        <ser>
          <idx val="1"/>
          <order val="1"/>
          <tx>
            <strRef>
              <f>'DASHBOARD'!C11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'DASHBOARD'!$A$12:$A$23</f>
            </numRef>
          </cat>
          <val>
            <numRef>
              <f>'DASHBOARD'!$C$12:$C$23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Composición del mes seleccionado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'DASHBOARD'!$J$7:$J$8</f>
            </numRef>
          </cat>
          <val>
            <numRef>
              <f>'DASHBOARD'!$K$7:$K$8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Gastos por categoria (mes elegido)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'Gastos captura'!$H$6:$H$8</f>
            </numRef>
          </cat>
          <val>
            <numRef>
              <f>'Gastos captura'!$I$6:$I$8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wsDr xmlns="http://schemas.openxmlformats.org/drawingml/2006/spreadsheetDrawing">
  <oneCellAnchor>
    <from>
      <col>0</col>
      <colOff>0</colOff>
      <row>26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26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10</row>
      <rowOff>0</rowOff>
    </from>
    <ext cx="36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11" name="Gastos" displayName="Gastos" ref="A4:E28" headerRowCount="1">
  <autoFilter ref="A4:E28"/>
  <tableColumns count="5">
    <tableColumn id="1" name="Mes"/>
    <tableColumn id="2" name="Categoria"/>
    <tableColumn id="3" name="Concepto"/>
    <tableColumn id="4" name="Importe"/>
    <tableColumn id="5" name="Origen"/>
  </tableColumns>
  <tableStyleInfo name="TableStyleMedium2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tabSelected="1"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3" customWidth="1" min="5" max="5"/>
    <col width="12" customWidth="1" min="6" max="6"/>
    <col hidden="1" width="13" customWidth="1" min="8" max="8"/>
    <col width="14" customWidth="1" min="10" max="10"/>
    <col width="12" customWidth="1" min="11" max="11"/>
  </cols>
  <sheetData>
    <row r="1">
      <c r="A1" s="1" t="inlineStr">
        <is>
          <t>DASHBOARD — Concentrado CFDI</t>
        </is>
      </c>
    </row>
    <row r="2">
      <c r="A2" s="2" t="inlineStr">
        <is>
          <t>Elige el contribuyente (RFC) y el mes; los indicadores y las gráficas se actualizan solos.</t>
        </is>
      </c>
    </row>
    <row r="4">
      <c r="A4" s="3" t="inlineStr">
        <is>
          <t>Contribuyente (RFC):</t>
        </is>
      </c>
      <c r="C4" s="4" t="inlineStr"/>
    </row>
    <row r="5">
      <c r="A5" s="3" t="inlineStr">
        <is>
          <t>Mes:</t>
        </is>
      </c>
      <c r="C5" s="4" t="n">
        <v>1</v>
      </c>
    </row>
    <row r="7">
      <c r="A7" s="5" t="inlineStr">
        <is>
          <t>Ingresos (percepciones)</t>
        </is>
      </c>
      <c r="B7" s="5" t="inlineStr">
        <is>
          <t>Deducciones</t>
        </is>
      </c>
      <c r="C7" s="5" t="inlineStr">
        <is>
          <t>Balance (neto)</t>
        </is>
      </c>
      <c r="D7" s="5" t="inlineStr">
        <is>
          <t>Comprobantes</t>
        </is>
      </c>
      <c r="E7" s="5" t="inlineStr">
        <is>
          <t>Por revisar</t>
        </is>
      </c>
      <c r="J7" t="inlineStr">
        <is>
          <t>Percepciones</t>
        </is>
      </c>
      <c r="K7">
        <f>INDEX($B$12:$B$23,$C$5)</f>
        <v/>
      </c>
    </row>
    <row r="8">
      <c r="A8" s="6">
        <f>INDEX($B$12:$B$23,$C$5)</f>
        <v/>
      </c>
      <c r="B8" s="6">
        <f>INDEX($C$12:$C$23,$C$5)</f>
        <v/>
      </c>
      <c r="C8" s="6">
        <f>INDEX($D$12:$D$23,$C$5)</f>
        <v/>
      </c>
      <c r="D8" s="7">
        <f>INDEX($E$12:$E$23,$C$5)</f>
        <v/>
      </c>
      <c r="E8" s="7">
        <f>INDEX($F$12:$F$23,$C$5)</f>
        <v/>
      </c>
      <c r="J8" t="inlineStr">
        <is>
          <t>Deducciones</t>
        </is>
      </c>
      <c r="K8">
        <f>INDEX($C$12:$C$23,$C$5)</f>
        <v/>
      </c>
    </row>
    <row r="11">
      <c r="A11" s="8" t="inlineStr">
        <is>
          <t>Mes</t>
        </is>
      </c>
      <c r="B11" s="8" t="inlineStr">
        <is>
          <t>Percepciones</t>
        </is>
      </c>
      <c r="C11" s="8" t="inlineStr">
        <is>
          <t>Deducciones</t>
        </is>
      </c>
      <c r="D11" s="8" t="inlineStr">
        <is>
          <t>Neto</t>
        </is>
      </c>
      <c r="E11" s="8" t="inlineStr">
        <is>
          <t>Comprobantes</t>
        </is>
      </c>
      <c r="F11" s="8" t="inlineStr">
        <is>
          <t>Por revisar</t>
        </is>
      </c>
      <c r="H11" t="inlineStr">
        <is>
          <t>#mes</t>
        </is>
      </c>
    </row>
    <row r="12">
      <c r="A12" s="9" t="inlineStr">
        <is>
          <t>ENE</t>
        </is>
      </c>
      <c r="B12" s="10">
        <f>SUMPRODUCT((--(fabi!$R$2:$R$1000&amp;""=TEXT($H12,"00")))*((($C$4="")+(fabi!$F$2:$F$1000=$C$4))&gt;0)*fabi!$BF$2:$BF$1000)</f>
        <v/>
      </c>
      <c r="C12" s="10">
        <f>SUMPRODUCT((--(fabi!$R$2:$R$1000&amp;""=TEXT($H12,"00")))*((($C$4="")+(fabi!$F$2:$F$1000=$C$4))&gt;0)*fabi!$CA$2:$CA$1000)</f>
        <v/>
      </c>
      <c r="D12" s="10">
        <f>SUMPRODUCT((--(fabi!$R$2:$R$1000&amp;""=TEXT($H12,"00")))*((($C$4="")+(fabi!$F$2:$F$1000=$C$4))&gt;0)*fabi!$CD$2:$CD$1000)</f>
        <v/>
      </c>
      <c r="E12" s="11">
        <f>SUMPRODUCT((--(fabi!$R$2:$R$1000&amp;""=TEXT($H12,"00")))*((($C$4="")+(fabi!$F$2:$F$1000=$C$4))&gt;0))</f>
        <v/>
      </c>
      <c r="F12" s="11">
        <f>SUMPRODUCT((--(fabi!$R$2:$R$1000&amp;""=TEXT($H12,"00")))*((($C$4="")+(fabi!$F$2:$F$1000=$C$4))&gt;0)*(--(fabi!$J$2:$J$1000&lt;&gt;"VIGENTE")))</f>
        <v/>
      </c>
      <c r="H12" t="n">
        <v>1</v>
      </c>
    </row>
    <row r="13">
      <c r="A13" s="9" t="inlineStr">
        <is>
          <t>FEB</t>
        </is>
      </c>
      <c r="B13" s="10">
        <f>SUMPRODUCT((--(fabi!$R$2:$R$1000&amp;""=TEXT($H13,"00")))*((($C$4="")+(fabi!$F$2:$F$1000=$C$4))&gt;0)*fabi!$BF$2:$BF$1000)</f>
        <v/>
      </c>
      <c r="C13" s="10">
        <f>SUMPRODUCT((--(fabi!$R$2:$R$1000&amp;""=TEXT($H13,"00")))*((($C$4="")+(fabi!$F$2:$F$1000=$C$4))&gt;0)*fabi!$CA$2:$CA$1000)</f>
        <v/>
      </c>
      <c r="D13" s="10">
        <f>SUMPRODUCT((--(fabi!$R$2:$R$1000&amp;""=TEXT($H13,"00")))*((($C$4="")+(fabi!$F$2:$F$1000=$C$4))&gt;0)*fabi!$CD$2:$CD$1000)</f>
        <v/>
      </c>
      <c r="E13" s="11">
        <f>SUMPRODUCT((--(fabi!$R$2:$R$1000&amp;""=TEXT($H13,"00")))*((($C$4="")+(fabi!$F$2:$F$1000=$C$4))&gt;0))</f>
        <v/>
      </c>
      <c r="F13" s="11">
        <f>SUMPRODUCT((--(fabi!$R$2:$R$1000&amp;""=TEXT($H13,"00")))*((($C$4="")+(fabi!$F$2:$F$1000=$C$4))&gt;0)*(--(fabi!$J$2:$J$1000&lt;&gt;"VIGENTE")))</f>
        <v/>
      </c>
      <c r="H13" t="n">
        <v>2</v>
      </c>
    </row>
    <row r="14">
      <c r="A14" s="9" t="inlineStr">
        <is>
          <t>MZO</t>
        </is>
      </c>
      <c r="B14" s="10">
        <f>SUMPRODUCT((--(fabi!$R$2:$R$1000&amp;""=TEXT($H14,"00")))*((($C$4="")+(fabi!$F$2:$F$1000=$C$4))&gt;0)*fabi!$BF$2:$BF$1000)</f>
        <v/>
      </c>
      <c r="C14" s="10">
        <f>SUMPRODUCT((--(fabi!$R$2:$R$1000&amp;""=TEXT($H14,"00")))*((($C$4="")+(fabi!$F$2:$F$1000=$C$4))&gt;0)*fabi!$CA$2:$CA$1000)</f>
        <v/>
      </c>
      <c r="D14" s="10">
        <f>SUMPRODUCT((--(fabi!$R$2:$R$1000&amp;""=TEXT($H14,"00")))*((($C$4="")+(fabi!$F$2:$F$1000=$C$4))&gt;0)*fabi!$CD$2:$CD$1000)</f>
        <v/>
      </c>
      <c r="E14" s="11">
        <f>SUMPRODUCT((--(fabi!$R$2:$R$1000&amp;""=TEXT($H14,"00")))*((($C$4="")+(fabi!$F$2:$F$1000=$C$4))&gt;0))</f>
        <v/>
      </c>
      <c r="F14" s="11">
        <f>SUMPRODUCT((--(fabi!$R$2:$R$1000&amp;""=TEXT($H14,"00")))*((($C$4="")+(fabi!$F$2:$F$1000=$C$4))&gt;0)*(--(fabi!$J$2:$J$1000&lt;&gt;"VIGENTE")))</f>
        <v/>
      </c>
      <c r="H14" t="n">
        <v>3</v>
      </c>
    </row>
    <row r="15">
      <c r="A15" s="9" t="inlineStr">
        <is>
          <t>ABR</t>
        </is>
      </c>
      <c r="B15" s="10">
        <f>SUMPRODUCT((--(fabi!$R$2:$R$1000&amp;""=TEXT($H15,"00")))*((($C$4="")+(fabi!$F$2:$F$1000=$C$4))&gt;0)*fabi!$BF$2:$BF$1000)</f>
        <v/>
      </c>
      <c r="C15" s="10">
        <f>SUMPRODUCT((--(fabi!$R$2:$R$1000&amp;""=TEXT($H15,"00")))*((($C$4="")+(fabi!$F$2:$F$1000=$C$4))&gt;0)*fabi!$CA$2:$CA$1000)</f>
        <v/>
      </c>
      <c r="D15" s="10">
        <f>SUMPRODUCT((--(fabi!$R$2:$R$1000&amp;""=TEXT($H15,"00")))*((($C$4="")+(fabi!$F$2:$F$1000=$C$4))&gt;0)*fabi!$CD$2:$CD$1000)</f>
        <v/>
      </c>
      <c r="E15" s="11">
        <f>SUMPRODUCT((--(fabi!$R$2:$R$1000&amp;""=TEXT($H15,"00")))*((($C$4="")+(fabi!$F$2:$F$1000=$C$4))&gt;0))</f>
        <v/>
      </c>
      <c r="F15" s="11">
        <f>SUMPRODUCT((--(fabi!$R$2:$R$1000&amp;""=TEXT($H15,"00")))*((($C$4="")+(fabi!$F$2:$F$1000=$C$4))&gt;0)*(--(fabi!$J$2:$J$1000&lt;&gt;"VIGENTE")))</f>
        <v/>
      </c>
      <c r="H15" t="n">
        <v>4</v>
      </c>
    </row>
    <row r="16">
      <c r="A16" s="9" t="inlineStr">
        <is>
          <t>MAY</t>
        </is>
      </c>
      <c r="B16" s="10">
        <f>SUMPRODUCT((--(fabi!$R$2:$R$1000&amp;""=TEXT($H16,"00")))*((($C$4="")+(fabi!$F$2:$F$1000=$C$4))&gt;0)*fabi!$BF$2:$BF$1000)</f>
        <v/>
      </c>
      <c r="C16" s="10">
        <f>SUMPRODUCT((--(fabi!$R$2:$R$1000&amp;""=TEXT($H16,"00")))*((($C$4="")+(fabi!$F$2:$F$1000=$C$4))&gt;0)*fabi!$CA$2:$CA$1000)</f>
        <v/>
      </c>
      <c r="D16" s="10">
        <f>SUMPRODUCT((--(fabi!$R$2:$R$1000&amp;""=TEXT($H16,"00")))*((($C$4="")+(fabi!$F$2:$F$1000=$C$4))&gt;0)*fabi!$CD$2:$CD$1000)</f>
        <v/>
      </c>
      <c r="E16" s="11">
        <f>SUMPRODUCT((--(fabi!$R$2:$R$1000&amp;""=TEXT($H16,"00")))*((($C$4="")+(fabi!$F$2:$F$1000=$C$4))&gt;0))</f>
        <v/>
      </c>
      <c r="F16" s="11">
        <f>SUMPRODUCT((--(fabi!$R$2:$R$1000&amp;""=TEXT($H16,"00")))*((($C$4="")+(fabi!$F$2:$F$1000=$C$4))&gt;0)*(--(fabi!$J$2:$J$1000&lt;&gt;"VIGENTE")))</f>
        <v/>
      </c>
      <c r="H16" t="n">
        <v>5</v>
      </c>
    </row>
    <row r="17">
      <c r="A17" s="9" t="inlineStr">
        <is>
          <t>JUN</t>
        </is>
      </c>
      <c r="B17" s="10">
        <f>SUMPRODUCT((--(fabi!$R$2:$R$1000&amp;""=TEXT($H17,"00")))*((($C$4="")+(fabi!$F$2:$F$1000=$C$4))&gt;0)*fabi!$BF$2:$BF$1000)</f>
        <v/>
      </c>
      <c r="C17" s="10">
        <f>SUMPRODUCT((--(fabi!$R$2:$R$1000&amp;""=TEXT($H17,"00")))*((($C$4="")+(fabi!$F$2:$F$1000=$C$4))&gt;0)*fabi!$CA$2:$CA$1000)</f>
        <v/>
      </c>
      <c r="D17" s="10">
        <f>SUMPRODUCT((--(fabi!$R$2:$R$1000&amp;""=TEXT($H17,"00")))*((($C$4="")+(fabi!$F$2:$F$1000=$C$4))&gt;0)*fabi!$CD$2:$CD$1000)</f>
        <v/>
      </c>
      <c r="E17" s="11">
        <f>SUMPRODUCT((--(fabi!$R$2:$R$1000&amp;""=TEXT($H17,"00")))*((($C$4="")+(fabi!$F$2:$F$1000=$C$4))&gt;0))</f>
        <v/>
      </c>
      <c r="F17" s="11">
        <f>SUMPRODUCT((--(fabi!$R$2:$R$1000&amp;""=TEXT($H17,"00")))*((($C$4="")+(fabi!$F$2:$F$1000=$C$4))&gt;0)*(--(fabi!$J$2:$J$1000&lt;&gt;"VIGENTE")))</f>
        <v/>
      </c>
      <c r="H17" t="n">
        <v>6</v>
      </c>
    </row>
    <row r="18">
      <c r="A18" s="9" t="inlineStr">
        <is>
          <t>JUL</t>
        </is>
      </c>
      <c r="B18" s="10">
        <f>SUMPRODUCT((--(fabi!$R$2:$R$1000&amp;""=TEXT($H18,"00")))*((($C$4="")+(fabi!$F$2:$F$1000=$C$4))&gt;0)*fabi!$BF$2:$BF$1000)</f>
        <v/>
      </c>
      <c r="C18" s="10">
        <f>SUMPRODUCT((--(fabi!$R$2:$R$1000&amp;""=TEXT($H18,"00")))*((($C$4="")+(fabi!$F$2:$F$1000=$C$4))&gt;0)*fabi!$CA$2:$CA$1000)</f>
        <v/>
      </c>
      <c r="D18" s="10">
        <f>SUMPRODUCT((--(fabi!$R$2:$R$1000&amp;""=TEXT($H18,"00")))*((($C$4="")+(fabi!$F$2:$F$1000=$C$4))&gt;0)*fabi!$CD$2:$CD$1000)</f>
        <v/>
      </c>
      <c r="E18" s="11">
        <f>SUMPRODUCT((--(fabi!$R$2:$R$1000&amp;""=TEXT($H18,"00")))*((($C$4="")+(fabi!$F$2:$F$1000=$C$4))&gt;0))</f>
        <v/>
      </c>
      <c r="F18" s="11">
        <f>SUMPRODUCT((--(fabi!$R$2:$R$1000&amp;""=TEXT($H18,"00")))*((($C$4="")+(fabi!$F$2:$F$1000=$C$4))&gt;0)*(--(fabi!$J$2:$J$1000&lt;&gt;"VIGENTE")))</f>
        <v/>
      </c>
      <c r="H18" t="n">
        <v>7</v>
      </c>
    </row>
    <row r="19">
      <c r="A19" s="9" t="inlineStr">
        <is>
          <t>AGO</t>
        </is>
      </c>
      <c r="B19" s="10">
        <f>SUMPRODUCT((--(fabi!$R$2:$R$1000&amp;""=TEXT($H19,"00")))*((($C$4="")+(fabi!$F$2:$F$1000=$C$4))&gt;0)*fabi!$BF$2:$BF$1000)</f>
        <v/>
      </c>
      <c r="C19" s="10">
        <f>SUMPRODUCT((--(fabi!$R$2:$R$1000&amp;""=TEXT($H19,"00")))*((($C$4="")+(fabi!$F$2:$F$1000=$C$4))&gt;0)*fabi!$CA$2:$CA$1000)</f>
        <v/>
      </c>
      <c r="D19" s="10">
        <f>SUMPRODUCT((--(fabi!$R$2:$R$1000&amp;""=TEXT($H19,"00")))*((($C$4="")+(fabi!$F$2:$F$1000=$C$4))&gt;0)*fabi!$CD$2:$CD$1000)</f>
        <v/>
      </c>
      <c r="E19" s="11">
        <f>SUMPRODUCT((--(fabi!$R$2:$R$1000&amp;""=TEXT($H19,"00")))*((($C$4="")+(fabi!$F$2:$F$1000=$C$4))&gt;0))</f>
        <v/>
      </c>
      <c r="F19" s="11">
        <f>SUMPRODUCT((--(fabi!$R$2:$R$1000&amp;""=TEXT($H19,"00")))*((($C$4="")+(fabi!$F$2:$F$1000=$C$4))&gt;0)*(--(fabi!$J$2:$J$1000&lt;&gt;"VIGENTE")))</f>
        <v/>
      </c>
      <c r="H19" t="n">
        <v>8</v>
      </c>
    </row>
    <row r="20">
      <c r="A20" s="9" t="inlineStr">
        <is>
          <t>SEPT</t>
        </is>
      </c>
      <c r="B20" s="10">
        <f>SUMPRODUCT((--(fabi!$R$2:$R$1000&amp;""=TEXT($H20,"00")))*((($C$4="")+(fabi!$F$2:$F$1000=$C$4))&gt;0)*fabi!$BF$2:$BF$1000)</f>
        <v/>
      </c>
      <c r="C20" s="10">
        <f>SUMPRODUCT((--(fabi!$R$2:$R$1000&amp;""=TEXT($H20,"00")))*((($C$4="")+(fabi!$F$2:$F$1000=$C$4))&gt;0)*fabi!$CA$2:$CA$1000)</f>
        <v/>
      </c>
      <c r="D20" s="10">
        <f>SUMPRODUCT((--(fabi!$R$2:$R$1000&amp;""=TEXT($H20,"00")))*((($C$4="")+(fabi!$F$2:$F$1000=$C$4))&gt;0)*fabi!$CD$2:$CD$1000)</f>
        <v/>
      </c>
      <c r="E20" s="11">
        <f>SUMPRODUCT((--(fabi!$R$2:$R$1000&amp;""=TEXT($H20,"00")))*((($C$4="")+(fabi!$F$2:$F$1000=$C$4))&gt;0))</f>
        <v/>
      </c>
      <c r="F20" s="11">
        <f>SUMPRODUCT((--(fabi!$R$2:$R$1000&amp;""=TEXT($H20,"00")))*((($C$4="")+(fabi!$F$2:$F$1000=$C$4))&gt;0)*(--(fabi!$J$2:$J$1000&lt;&gt;"VIGENTE")))</f>
        <v/>
      </c>
      <c r="H20" t="n">
        <v>9</v>
      </c>
    </row>
    <row r="21">
      <c r="A21" s="9" t="inlineStr">
        <is>
          <t>OCT</t>
        </is>
      </c>
      <c r="B21" s="10">
        <f>SUMPRODUCT((--(fabi!$R$2:$R$1000&amp;""=TEXT($H21,"00")))*((($C$4="")+(fabi!$F$2:$F$1000=$C$4))&gt;0)*fabi!$BF$2:$BF$1000)</f>
        <v/>
      </c>
      <c r="C21" s="10">
        <f>SUMPRODUCT((--(fabi!$R$2:$R$1000&amp;""=TEXT($H21,"00")))*((($C$4="")+(fabi!$F$2:$F$1000=$C$4))&gt;0)*fabi!$CA$2:$CA$1000)</f>
        <v/>
      </c>
      <c r="D21" s="10">
        <f>SUMPRODUCT((--(fabi!$R$2:$R$1000&amp;""=TEXT($H21,"00")))*((($C$4="")+(fabi!$F$2:$F$1000=$C$4))&gt;0)*fabi!$CD$2:$CD$1000)</f>
        <v/>
      </c>
      <c r="E21" s="11">
        <f>SUMPRODUCT((--(fabi!$R$2:$R$1000&amp;""=TEXT($H21,"00")))*((($C$4="")+(fabi!$F$2:$F$1000=$C$4))&gt;0))</f>
        <v/>
      </c>
      <c r="F21" s="11">
        <f>SUMPRODUCT((--(fabi!$R$2:$R$1000&amp;""=TEXT($H21,"00")))*((($C$4="")+(fabi!$F$2:$F$1000=$C$4))&gt;0)*(--(fabi!$J$2:$J$1000&lt;&gt;"VIGENTE")))</f>
        <v/>
      </c>
      <c r="H21" t="n">
        <v>10</v>
      </c>
    </row>
    <row r="22">
      <c r="A22" s="9" t="inlineStr">
        <is>
          <t>NOV</t>
        </is>
      </c>
      <c r="B22" s="10">
        <f>SUMPRODUCT((--(fabi!$R$2:$R$1000&amp;""=TEXT($H22,"00")))*((($C$4="")+(fabi!$F$2:$F$1000=$C$4))&gt;0)*fabi!$BF$2:$BF$1000)</f>
        <v/>
      </c>
      <c r="C22" s="10">
        <f>SUMPRODUCT((--(fabi!$R$2:$R$1000&amp;""=TEXT($H22,"00")))*((($C$4="")+(fabi!$F$2:$F$1000=$C$4))&gt;0)*fabi!$CA$2:$CA$1000)</f>
        <v/>
      </c>
      <c r="D22" s="10">
        <f>SUMPRODUCT((--(fabi!$R$2:$R$1000&amp;""=TEXT($H22,"00")))*((($C$4="")+(fabi!$F$2:$F$1000=$C$4))&gt;0)*fabi!$CD$2:$CD$1000)</f>
        <v/>
      </c>
      <c r="E22" s="11">
        <f>SUMPRODUCT((--(fabi!$R$2:$R$1000&amp;""=TEXT($H22,"00")))*((($C$4="")+(fabi!$F$2:$F$1000=$C$4))&gt;0))</f>
        <v/>
      </c>
      <c r="F22" s="11">
        <f>SUMPRODUCT((--(fabi!$R$2:$R$1000&amp;""=TEXT($H22,"00")))*((($C$4="")+(fabi!$F$2:$F$1000=$C$4))&gt;0)*(--(fabi!$J$2:$J$1000&lt;&gt;"VIGENTE")))</f>
        <v/>
      </c>
      <c r="H22" t="n">
        <v>11</v>
      </c>
    </row>
    <row r="23">
      <c r="A23" s="9" t="inlineStr">
        <is>
          <t>DIC</t>
        </is>
      </c>
      <c r="B23" s="10">
        <f>SUMPRODUCT((--(fabi!$R$2:$R$1000&amp;""=TEXT($H23,"00")))*((($C$4="")+(fabi!$F$2:$F$1000=$C$4))&gt;0)*fabi!$BF$2:$BF$1000)</f>
        <v/>
      </c>
      <c r="C23" s="10">
        <f>SUMPRODUCT((--(fabi!$R$2:$R$1000&amp;""=TEXT($H23,"00")))*((($C$4="")+(fabi!$F$2:$F$1000=$C$4))&gt;0)*fabi!$CA$2:$CA$1000)</f>
        <v/>
      </c>
      <c r="D23" s="10">
        <f>SUMPRODUCT((--(fabi!$R$2:$R$1000&amp;""=TEXT($H23,"00")))*((($C$4="")+(fabi!$F$2:$F$1000=$C$4))&gt;0)*fabi!$CD$2:$CD$1000)</f>
        <v/>
      </c>
      <c r="E23" s="11">
        <f>SUMPRODUCT((--(fabi!$R$2:$R$1000&amp;""=TEXT($H23,"00")))*((($C$4="")+(fabi!$F$2:$F$1000=$C$4))&gt;0))</f>
        <v/>
      </c>
      <c r="F23" s="11">
        <f>SUMPRODUCT((--(fabi!$R$2:$R$1000&amp;""=TEXT($H23,"00")))*((($C$4="")+(fabi!$F$2:$F$1000=$C$4))&gt;0)*(--(fabi!$J$2:$J$1000&lt;&gt;"VIGENTE")))</f>
        <v/>
      </c>
      <c r="H23" t="n">
        <v>12</v>
      </c>
    </row>
    <row r="24">
      <c r="A24" s="12" t="inlineStr">
        <is>
          <t>TOTAL</t>
        </is>
      </c>
      <c r="B24" s="13">
        <f>SUM(B12:B23)</f>
        <v/>
      </c>
      <c r="C24" s="13">
        <f>SUM(C12:C23)</f>
        <v/>
      </c>
      <c r="D24" s="13">
        <f>SUM(D12:D23)</f>
        <v/>
      </c>
      <c r="E24" s="14">
        <f>SUM(E12:E23)</f>
        <v/>
      </c>
      <c r="F24" s="14">
        <f>SUM(F12:F23)</f>
        <v/>
      </c>
    </row>
  </sheetData>
  <dataValidations count="2">
    <dataValidation sqref="C5" showDropDown="0" showInputMessage="0" showErrorMessage="0" allowBlank="1" type="list">
      <formula1>"1,2,3,4,5,6,7,8,9,10,11,12"</formula1>
    </dataValidation>
    <dataValidation sqref="C4" showDropDown="0" showInputMessage="0" showErrorMessage="0" allowBlank="1" type="list">
      <formula1>fabi!$F$2:$F$1000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0" customWidth="1" min="3" max="3"/>
    <col width="14" customWidth="1" min="4" max="4"/>
    <col width="12" customWidth="1" min="5" max="5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>
        <is>
          <t>Gastos — Captura (manual o XML)</t>
        </is>
      </c>
    </row>
    <row r="2">
      <c r="A2" s="2" t="inlineStr">
        <is>
          <t>Agrega los renglones/conceptos que necesites. Marca el Mes (1-12), la Categoria (Basico/Lujo/Ahorro), el Importe y el Origen.</t>
        </is>
      </c>
      <c r="H2" s="3" t="inlineStr">
        <is>
          <t>Resumen por categoria</t>
        </is>
      </c>
    </row>
    <row r="3">
      <c r="H3" s="4" t="inlineStr">
        <is>
          <t>Mes:</t>
        </is>
      </c>
      <c r="I3" s="5" t="n">
        <v>1</v>
      </c>
    </row>
    <row r="4">
      <c r="A4" s="6" t="inlineStr">
        <is>
          <t>Mes</t>
        </is>
      </c>
      <c r="B4" s="6" t="inlineStr">
        <is>
          <t>Categoria</t>
        </is>
      </c>
      <c r="C4" s="6" t="inlineStr">
        <is>
          <t>Concepto</t>
        </is>
      </c>
      <c r="D4" s="6" t="inlineStr">
        <is>
          <t>Importe</t>
        </is>
      </c>
      <c r="E4" s="6" t="inlineStr">
        <is>
          <t>Origen</t>
        </is>
      </c>
    </row>
    <row r="5">
      <c r="B5" t="inlineStr">
        <is>
          <t>Basico</t>
        </is>
      </c>
      <c r="C5" t="inlineStr">
        <is>
          <t>Renta / Hipoteca</t>
        </is>
      </c>
      <c r="D5" t="n">
        <v>0</v>
      </c>
      <c r="E5" t="inlineStr">
        <is>
          <t>Manual</t>
        </is>
      </c>
      <c r="H5" s="7" t="inlineStr">
        <is>
          <t>Categoria</t>
        </is>
      </c>
      <c r="I5" s="7" t="inlineStr">
        <is>
          <t>Monto</t>
        </is>
      </c>
      <c r="J5" s="7" t="inlineStr">
        <is>
          <t>% real</t>
        </is>
      </c>
      <c r="K5" s="7" t="inlineStr">
        <is>
          <t>Meta</t>
        </is>
      </c>
    </row>
    <row r="6">
      <c r="B6" t="inlineStr">
        <is>
          <t>Basico</t>
        </is>
      </c>
      <c r="C6" t="inlineStr">
        <is>
          <t>Agua (CESPT)</t>
        </is>
      </c>
      <c r="D6" t="n">
        <v>0</v>
      </c>
      <c r="E6" t="inlineStr">
        <is>
          <t>Manual</t>
        </is>
      </c>
      <c r="H6" s="8" t="inlineStr">
        <is>
          <t>Basico</t>
        </is>
      </c>
      <c r="I6" s="9">
        <f>SUMIFS(Gastos[Importe],Gastos[Categoria],"Basico",Gastos[Mes],$I$3)</f>
        <v/>
      </c>
      <c r="J6" s="10">
        <f>IFERROR(I6/$I$9,0)</f>
        <v/>
      </c>
      <c r="K6" s="11" t="n">
        <v>0.5</v>
      </c>
    </row>
    <row r="7">
      <c r="B7" t="inlineStr">
        <is>
          <t>Basico</t>
        </is>
      </c>
      <c r="C7" t="inlineStr">
        <is>
          <t>Luz (CFE)</t>
        </is>
      </c>
      <c r="D7" t="n">
        <v>0</v>
      </c>
      <c r="E7" t="inlineStr">
        <is>
          <t>Manual</t>
        </is>
      </c>
      <c r="H7" s="8" t="inlineStr">
        <is>
          <t>Lujo</t>
        </is>
      </c>
      <c r="I7" s="9">
        <f>SUMIFS(Gastos[Importe],Gastos[Categoria],"Lujo",Gastos[Mes],$I$3)</f>
        <v/>
      </c>
      <c r="J7" s="10">
        <f>IFERROR(I7/$I$9,0)</f>
        <v/>
      </c>
      <c r="K7" s="11" t="n">
        <v>0.2</v>
      </c>
    </row>
    <row r="8">
      <c r="B8" t="inlineStr">
        <is>
          <t>Basico</t>
        </is>
      </c>
      <c r="C8" t="inlineStr">
        <is>
          <t>Gas</t>
        </is>
      </c>
      <c r="D8" t="n">
        <v>0</v>
      </c>
      <c r="E8" t="inlineStr">
        <is>
          <t>Manual</t>
        </is>
      </c>
      <c r="H8" s="8" t="inlineStr">
        <is>
          <t>Ahorro</t>
        </is>
      </c>
      <c r="I8" s="9">
        <f>SUMIFS(Gastos[Importe],Gastos[Categoria],"Ahorro",Gastos[Mes],$I$3)</f>
        <v/>
      </c>
      <c r="J8" s="10">
        <f>IFERROR(I8/$I$9,0)</f>
        <v/>
      </c>
      <c r="K8" s="11" t="n">
        <v>0.3</v>
      </c>
    </row>
    <row r="9">
      <c r="B9" t="inlineStr">
        <is>
          <t>Basico</t>
        </is>
      </c>
      <c r="C9" t="inlineStr">
        <is>
          <t>Internet</t>
        </is>
      </c>
      <c r="D9" t="n">
        <v>0</v>
      </c>
      <c r="E9" t="inlineStr">
        <is>
          <t>Manual</t>
        </is>
      </c>
      <c r="H9" s="12" t="inlineStr">
        <is>
          <t>TOTAL</t>
        </is>
      </c>
      <c r="I9" s="13">
        <f>SUM(I6:I8)</f>
        <v/>
      </c>
    </row>
    <row r="10">
      <c r="B10" t="inlineStr">
        <is>
          <t>Basico</t>
        </is>
      </c>
      <c r="C10" t="inlineStr">
        <is>
          <t>Telefono / Recargas</t>
        </is>
      </c>
      <c r="D10" t="n">
        <v>0</v>
      </c>
      <c r="E10" t="inlineStr">
        <is>
          <t>Manual</t>
        </is>
      </c>
    </row>
    <row r="11">
      <c r="B11" t="inlineStr">
        <is>
          <t>Basico</t>
        </is>
      </c>
      <c r="C11" t="inlineStr">
        <is>
          <t>Mantenimiento privada</t>
        </is>
      </c>
      <c r="D11" t="n">
        <v>0</v>
      </c>
      <c r="E11" t="inlineStr">
        <is>
          <t>Manual</t>
        </is>
      </c>
    </row>
    <row r="12">
      <c r="B12" t="inlineStr">
        <is>
          <t>Basico</t>
        </is>
      </c>
      <c r="C12" t="inlineStr">
        <is>
          <t>Predial</t>
        </is>
      </c>
      <c r="D12" t="n">
        <v>0</v>
      </c>
      <c r="E12" t="inlineStr">
        <is>
          <t>Manual</t>
        </is>
      </c>
    </row>
    <row r="13">
      <c r="B13" t="inlineStr">
        <is>
          <t>Basico</t>
        </is>
      </c>
      <c r="C13" t="inlineStr">
        <is>
          <t>Despensa / Supermercado</t>
        </is>
      </c>
      <c r="D13" t="n">
        <v>0</v>
      </c>
      <c r="E13" t="inlineStr">
        <is>
          <t>Manual</t>
        </is>
      </c>
    </row>
    <row r="14">
      <c r="B14" t="inlineStr">
        <is>
          <t>Basico</t>
        </is>
      </c>
      <c r="C14" t="inlineStr">
        <is>
          <t>Mercado</t>
        </is>
      </c>
      <c r="D14" t="n">
        <v>0</v>
      </c>
      <c r="E14" t="inlineStr">
        <is>
          <t>Manual</t>
        </is>
      </c>
    </row>
    <row r="15">
      <c r="B15" t="inlineStr">
        <is>
          <t>Basico</t>
        </is>
      </c>
      <c r="C15" t="inlineStr">
        <is>
          <t>Transporte / Pasajes</t>
        </is>
      </c>
      <c r="D15" t="n">
        <v>0</v>
      </c>
      <c r="E15" t="inlineStr">
        <is>
          <t>Manual</t>
        </is>
      </c>
    </row>
    <row r="16">
      <c r="B16" t="inlineStr">
        <is>
          <t>Basico</t>
        </is>
      </c>
      <c r="C16" t="inlineStr">
        <is>
          <t>Salud / Medicamentos</t>
        </is>
      </c>
      <c r="D16" t="n">
        <v>0</v>
      </c>
      <c r="E16" t="inlineStr">
        <is>
          <t>Manual</t>
        </is>
      </c>
    </row>
    <row r="17">
      <c r="B17" t="inlineStr">
        <is>
          <t>Basico</t>
        </is>
      </c>
      <c r="C17" t="inlineStr">
        <is>
          <t>Escuela / Colegiaturas</t>
        </is>
      </c>
      <c r="D17" t="n">
        <v>0</v>
      </c>
      <c r="E17" t="inlineStr">
        <is>
          <t>Manual</t>
        </is>
      </c>
    </row>
    <row r="18">
      <c r="B18" t="inlineStr">
        <is>
          <t>Lujo</t>
        </is>
      </c>
      <c r="C18" t="inlineStr">
        <is>
          <t>Restaurantes / Comidas</t>
        </is>
      </c>
      <c r="D18" t="n">
        <v>0</v>
      </c>
      <c r="E18" t="inlineStr">
        <is>
          <t>Manual</t>
        </is>
      </c>
    </row>
    <row r="19">
      <c r="B19" t="inlineStr">
        <is>
          <t>Lujo</t>
        </is>
      </c>
      <c r="C19" t="inlineStr">
        <is>
          <t>Cine / Entretenimiento</t>
        </is>
      </c>
      <c r="D19" t="n">
        <v>0</v>
      </c>
      <c r="E19" t="inlineStr">
        <is>
          <t>Manual</t>
        </is>
      </c>
    </row>
    <row r="20">
      <c r="B20" t="inlineStr">
        <is>
          <t>Lujo</t>
        </is>
      </c>
      <c r="C20" t="inlineStr">
        <is>
          <t>Ropa / Cosmeticos</t>
        </is>
      </c>
      <c r="D20" t="n">
        <v>0</v>
      </c>
      <c r="E20" t="inlineStr">
        <is>
          <t>Manual</t>
        </is>
      </c>
    </row>
    <row r="21">
      <c r="B21" t="inlineStr">
        <is>
          <t>Lujo</t>
        </is>
      </c>
      <c r="C21" t="inlineStr">
        <is>
          <t>Libros / Cafe / Golosinas</t>
        </is>
      </c>
      <c r="D21" t="n">
        <v>0</v>
      </c>
      <c r="E21" t="inlineStr">
        <is>
          <t>Manual</t>
        </is>
      </c>
    </row>
    <row r="22">
      <c r="B22" t="inlineStr">
        <is>
          <t>Lujo</t>
        </is>
      </c>
      <c r="C22" t="inlineStr">
        <is>
          <t>Mascotas / Veterinario</t>
        </is>
      </c>
      <c r="D22" t="n">
        <v>0</v>
      </c>
      <c r="E22" t="inlineStr">
        <is>
          <t>Manual</t>
        </is>
      </c>
    </row>
    <row r="23">
      <c r="B23" t="inlineStr">
        <is>
          <t>Lujo</t>
        </is>
      </c>
      <c r="C23" t="inlineStr">
        <is>
          <t>Viajes / Hotel</t>
        </is>
      </c>
      <c r="D23" t="n">
        <v>0</v>
      </c>
      <c r="E23" t="inlineStr">
        <is>
          <t>Manual</t>
        </is>
      </c>
    </row>
    <row r="24">
      <c r="B24" t="inlineStr">
        <is>
          <t>Lujo</t>
        </is>
      </c>
      <c r="C24" t="inlineStr">
        <is>
          <t>Cumpleanos / Regalos</t>
        </is>
      </c>
      <c r="D24" t="n">
        <v>0</v>
      </c>
      <c r="E24" t="inlineStr">
        <is>
          <t>Manual</t>
        </is>
      </c>
    </row>
    <row r="25">
      <c r="B25" t="inlineStr">
        <is>
          <t>Ahorro</t>
        </is>
      </c>
      <c r="C25" t="inlineStr">
        <is>
          <t>Tarjeta de credito</t>
        </is>
      </c>
      <c r="D25" t="n">
        <v>0</v>
      </c>
      <c r="E25" t="inlineStr">
        <is>
          <t>Manual</t>
        </is>
      </c>
    </row>
    <row r="26">
      <c r="B26" t="inlineStr">
        <is>
          <t>Ahorro</t>
        </is>
      </c>
      <c r="C26" t="inlineStr">
        <is>
          <t>Prestamo personal</t>
        </is>
      </c>
      <c r="D26" t="n">
        <v>0</v>
      </c>
      <c r="E26" t="inlineStr">
        <is>
          <t>Manual</t>
        </is>
      </c>
    </row>
    <row r="27">
      <c r="B27" t="inlineStr">
        <is>
          <t>Ahorro</t>
        </is>
      </c>
      <c r="C27" t="inlineStr">
        <is>
          <t>Pago a capital / Empenos</t>
        </is>
      </c>
      <c r="D27" t="n">
        <v>0</v>
      </c>
      <c r="E27" t="inlineStr">
        <is>
          <t>Manual</t>
        </is>
      </c>
    </row>
    <row r="28">
      <c r="B28" t="inlineStr">
        <is>
          <t>Ahorro</t>
        </is>
      </c>
      <c r="C28" t="inlineStr">
        <is>
          <t>Ahorro / Fondo emergencia</t>
        </is>
      </c>
      <c r="D28" t="n">
        <v>0</v>
      </c>
      <c r="E28" t="inlineStr">
        <is>
          <t>Manual</t>
        </is>
      </c>
    </row>
  </sheetData>
  <dataValidations count="4">
    <dataValidation sqref="B5:B28" showDropDown="0" showInputMessage="0" showErrorMessage="0" allowBlank="1" type="list">
      <formula1>"Basico,Lujo,Ahorro"</formula1>
    </dataValidation>
    <dataValidation sqref="E5:E28" showDropDown="0" showInputMessage="0" showErrorMessage="0" allowBlank="1" type="list">
      <formula1>"Manual,XML"</formula1>
    </dataValidation>
    <dataValidation sqref="A5:A28" showDropDown="0" showInputMessage="0" showErrorMessage="0" allowBlank="1" type="list">
      <formula1>"1,2,3,4,5,6,7,8,9,10,11,12"</formula1>
    </dataValidation>
    <dataValidation sqref="I3" showDropDown="0" showInputMessage="0" showErrorMessage="0" allowBlank="1" type="list">
      <formula1>"1,2,3,4,5,6,7,8,9,10,11,12"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6</vt:i4>
      </vt:variant>
    </vt:vector>
  </HeadingPairs>
  <TitlesOfParts>
    <vt:vector size="14" baseType="lpstr"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