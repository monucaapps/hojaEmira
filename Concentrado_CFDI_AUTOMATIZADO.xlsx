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tables/table3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94D65681-DF4A-412B-AB28-BB38B4D5F067}" xr6:coauthVersionLast="47" xr6:coauthVersionMax="47" xr10:uidLastSave="{00000000-0000-0000-0000-000000000000}"/>
  <bookViews>
    <workbookView xWindow="-108" yWindow="-108" windowWidth="23256" windowHeight="12456" tabRatio="771" xr2:uid="{00000000-000D-0000-FFFF-FFFF00000000}"/>
  </bookViews>
  <sheets>
    <sheet name="DASHBOARD" sheetId="33" r:id="rId20"/>
    <sheet name="fabi" sheetId="9" r:id="rId1"/>
    <sheet name="ingresos" sheetId="6" r:id="rId2"/>
    <sheet name="hoja de gastos" sheetId="24" r:id="rId3"/>
    <sheet name="presupuesto" sheetId="23" r:id="rId4"/>
    <sheet name="REGLA DE ORO" sheetId="26" r:id="rId5"/>
    <sheet name="detalle" sheetId="31" r:id="rId6"/>
    <sheet name="concentrado" sheetId="32" r:id="rId7"/>
    <sheet name="tabulador" sheetId="4" r:id="rId8"/>
    <sheet name="Gastos captura" sheetId="34" r:id="rId21"/>
  </sheets>
  <definedNames>
    <definedName name="RFCList">fabi!$F$2:$F$1000</definedName>
    <definedName name="_xlnm._FilterDatabase" localSheetId="0" hidden="1">fabi!$A$1:$DH$5</definedName>
    <definedName name="entradas">Tabla9[]</definedName>
    <definedName name="gastos">'hoja de gastos'!$A$2:$E$98</definedName>
    <definedName name="ingresos">ingresos!$A$1:$I$60</definedName>
    <definedName name="salidas">Tabla9[]</definedName>
    <definedName name="salidas1">Tabla10[]</definedName>
    <definedName name="SegmentaciónDeDatos_mes">#N/A</definedName>
    <definedName name="SegmentaciónDeDatos_mes1">#N/A</definedName>
    <definedName name="tarifa">tabulador!$A$1:$D$7</definedName>
  </definedNames>
  <calcPr calcId="191029" fullCalcOnLoad="1"/>
  <pivotCaches>
    <pivotCache cacheId="0" r:id="rId10"/>
    <pivotCache cacheId="1" r:id="rId11"/>
  </pivotCaches>
  <extLst>
    <ext xmlns:x14="http://schemas.microsoft.com/office/spreadsheetml/2009/9/main" uri="{BBE1A952-AA13-448e-AADC-164F8A28A991}">
      <x14:slicerCaches>
        <x14:slicerCache r:id="rId12"/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<sst xmlns="http://schemas.openxmlformats.org/spreadsheetml/2006/main" count="611" uniqueCount="431">
  <si>
    <t>Estatus</t>
  </si>
  <si>
    <t>RFC Receptor</t>
  </si>
  <si>
    <t>CONCEPTOS</t>
  </si>
  <si>
    <t>TOTAL DEDUCCIONES</t>
  </si>
  <si>
    <t>limite inferior</t>
  </si>
  <si>
    <t>excedente lim.inferior</t>
  </si>
  <si>
    <t>impuesto marginal</t>
  </si>
  <si>
    <t>cuota fija</t>
  </si>
  <si>
    <t>TOTAL  ISR</t>
  </si>
  <si>
    <t>Tipo de Comprobante</t>
  </si>
  <si>
    <t>lim.inferior</t>
  </si>
  <si>
    <t>lim.superior</t>
  </si>
  <si>
    <t>c.f</t>
  </si>
  <si>
    <t>%</t>
  </si>
  <si>
    <t>tasa de ISR  %</t>
  </si>
  <si>
    <t>ISR A PAGAR</t>
  </si>
  <si>
    <t>SEPT</t>
  </si>
  <si>
    <t>OCT</t>
  </si>
  <si>
    <t>NOV</t>
  </si>
  <si>
    <t>DIC</t>
  </si>
  <si>
    <t>ENE</t>
  </si>
  <si>
    <t>FEB</t>
  </si>
  <si>
    <t>MZO</t>
  </si>
  <si>
    <t>ABR</t>
  </si>
  <si>
    <t>MAY</t>
  </si>
  <si>
    <t>JUN</t>
  </si>
  <si>
    <t>JUL</t>
  </si>
  <si>
    <t>AGO</t>
  </si>
  <si>
    <t>INGRESOS COBRADOS DEL MES</t>
  </si>
  <si>
    <t>PAGO PROVISIONAL MENSUAL</t>
  </si>
  <si>
    <t>En adelante</t>
  </si>
  <si>
    <t>Moneda</t>
  </si>
  <si>
    <t>RETENCION DE ISR</t>
  </si>
  <si>
    <t>Serie</t>
  </si>
  <si>
    <t>Folio</t>
  </si>
  <si>
    <t>Nómina</t>
  </si>
  <si>
    <t>honorarios del contador 5% sobre el ingreso</t>
  </si>
  <si>
    <t>retencion de isr 1.25% sobre el ingreso</t>
  </si>
  <si>
    <t>PAGOS</t>
  </si>
  <si>
    <t>TOTAL</t>
  </si>
  <si>
    <t>RFC</t>
  </si>
  <si>
    <t>CURP</t>
  </si>
  <si>
    <t>NSS</t>
  </si>
  <si>
    <t>SBC</t>
  </si>
  <si>
    <t>SDI</t>
  </si>
  <si>
    <t>N°</t>
  </si>
  <si>
    <t>UUID</t>
  </si>
  <si>
    <t>Fecha Emisión</t>
  </si>
  <si>
    <t>Fecha Timbrado</t>
  </si>
  <si>
    <t>Versión</t>
  </si>
  <si>
    <t>Razón Social Emisor</t>
  </si>
  <si>
    <t>Régimen Fiscal</t>
  </si>
  <si>
    <t>PACCertificador</t>
  </si>
  <si>
    <t>Lugar Expedición</t>
  </si>
  <si>
    <t>Método de Pago</t>
  </si>
  <si>
    <t>Tipo Nómina</t>
  </si>
  <si>
    <t>Fecha de Pago</t>
  </si>
  <si>
    <t>Total de Deducciones</t>
  </si>
  <si>
    <t>Total de Otros Pagos</t>
  </si>
  <si>
    <t>Registro Patronal (Emisor Nom)</t>
  </si>
  <si>
    <t>Curp (Receptor Nom)</t>
  </si>
  <si>
    <t>NumSeguridadSocial (Receptor Nom)</t>
  </si>
  <si>
    <t>Antigüedad (Receptor Nom)</t>
  </si>
  <si>
    <t>TipoJornada (Receptor Nom)</t>
  </si>
  <si>
    <t>TipoRegimen (Receptor Nom)</t>
  </si>
  <si>
    <t>NumEmpleado (Receptor Nom)</t>
  </si>
  <si>
    <t>RiesgoPuesto (Receptor Nom)</t>
  </si>
  <si>
    <t>PeriodicidadPago (Receptor Nom)</t>
  </si>
  <si>
    <t>Banco (Receptor Nom)</t>
  </si>
  <si>
    <t>CuentaBancaria (Receptor Nom)</t>
  </si>
  <si>
    <t>SalarioBaseCotApor (Receptor Nom)</t>
  </si>
  <si>
    <t>SalarioDiarioIntegrado (Receptor Nom)</t>
  </si>
  <si>
    <t>019 - HORAS EXTRAS DOBLES | Exento</t>
  </si>
  <si>
    <t>020 - Prima Dominical |  Gravado</t>
  </si>
  <si>
    <t>020 - Prima Dominical | Exento</t>
  </si>
  <si>
    <t>001 - SUELDO ORDINARIO |  Gravado</t>
  </si>
  <si>
    <t>001 - SUELDO ORDINARIO | Exento</t>
  </si>
  <si>
    <t>010 - BONO PUNTUALIDAD |  Gravado</t>
  </si>
  <si>
    <t>010 - BONO PUNTUALIDAD | Exento</t>
  </si>
  <si>
    <t>005 - ApFondo Ahorro Empr |  Gravado</t>
  </si>
  <si>
    <t>005 - ApFondo Ahorro Empr | Exento</t>
  </si>
  <si>
    <t>PERCEPCIÓNES</t>
  </si>
  <si>
    <t>002 - Subsidio para el Empleo</t>
  </si>
  <si>
    <t>999 - Ajuste de Moneda</t>
  </si>
  <si>
    <t>007 - ISR Ajustado por Subsidio</t>
  </si>
  <si>
    <t>004 - ISPT a Compensar</t>
  </si>
  <si>
    <t xml:space="preserve">OTROS PAGOS -  Subsidio Causado </t>
  </si>
  <si>
    <t xml:space="preserve">OTROS PAGOS -  Saldo Favor </t>
  </si>
  <si>
    <t xml:space="preserve">OTROS PAGOS -  Año </t>
  </si>
  <si>
    <t xml:space="preserve">OTROS PAGOS -  Remanente Saldo Favor </t>
  </si>
  <si>
    <t>OTROS PAGOS</t>
  </si>
  <si>
    <t>002 - I S P T</t>
  </si>
  <si>
    <t>007 - Pension Alimenticia</t>
  </si>
  <si>
    <t>011 - Pago de abonos FONACOT</t>
  </si>
  <si>
    <t>101 - ISPT A CARGO</t>
  </si>
  <si>
    <t>107 - Ajuste al Subsidio Causado</t>
  </si>
  <si>
    <t>010 - Apor  Crédito INFONAVIT</t>
  </si>
  <si>
    <t>021 - Aport IMSS trabajad</t>
  </si>
  <si>
    <t>009 - Prestamos provenientes del Fondo Nacional de la Vivienda para los Trabajadores</t>
  </si>
  <si>
    <t>DEDUCCIONES</t>
  </si>
  <si>
    <t xml:space="preserve">02 -  Días de Incapacidad:  </t>
  </si>
  <si>
    <t>INCAPACIDADES</t>
  </si>
  <si>
    <t>NETO</t>
  </si>
  <si>
    <t>1</t>
  </si>
  <si>
    <t/>
  </si>
  <si>
    <t>4.0</t>
  </si>
  <si>
    <t>VIGENTE</t>
  </si>
  <si>
    <t>PUE-Pago en una sola exhibición</t>
  </si>
  <si>
    <t>Peso Mexicano</t>
  </si>
  <si>
    <t>O-Nómina ordinaria</t>
  </si>
  <si>
    <t>7</t>
  </si>
  <si>
    <t>02-Sueldos (Incluye ingresos señalados en la fracción I del artículo 94 de LISR)</t>
  </si>
  <si>
    <t>02-Semanal</t>
  </si>
  <si>
    <t>3</t>
  </si>
  <si>
    <t>6</t>
  </si>
  <si>
    <t>10</t>
  </si>
  <si>
    <t>2</t>
  </si>
  <si>
    <t>FABIOLA PONCE GARCIA</t>
  </si>
  <si>
    <t>623-Opcional para Grupos de Sociedades</t>
  </si>
  <si>
    <t>INT020124V62</t>
  </si>
  <si>
    <t>CFDI</t>
  </si>
  <si>
    <t>19/07/2021 12:00:00 a. m.</t>
  </si>
  <si>
    <t>01-Diurna</t>
  </si>
  <si>
    <t>3-Clase III</t>
  </si>
  <si>
    <t>127</t>
  </si>
  <si>
    <t>4</t>
  </si>
  <si>
    <t>5</t>
  </si>
  <si>
    <t>30</t>
  </si>
  <si>
    <t>8</t>
  </si>
  <si>
    <t>12</t>
  </si>
  <si>
    <t>13</t>
  </si>
  <si>
    <t>14</t>
  </si>
  <si>
    <t>20</t>
  </si>
  <si>
    <t>21</t>
  </si>
  <si>
    <t>26</t>
  </si>
  <si>
    <t>29</t>
  </si>
  <si>
    <t>31</t>
  </si>
  <si>
    <t>P76W</t>
  </si>
  <si>
    <t>2022</t>
  </si>
  <si>
    <t>P78W</t>
  </si>
  <si>
    <t>25/01/2023 10:50:10 p. m.</t>
  </si>
  <si>
    <t>25/01/2023 12:00:00 a. m.</t>
  </si>
  <si>
    <t>4338.46</t>
  </si>
  <si>
    <t>594.27</t>
  </si>
  <si>
    <t>18/01/2023 08:47:12 p. m.</t>
  </si>
  <si>
    <t>18/01/2023 12:00:00 a. m.</t>
  </si>
  <si>
    <t>P77W</t>
  </si>
  <si>
    <t>3556.23</t>
  </si>
  <si>
    <t>11/01/2023 10:51:06 p. m.</t>
  </si>
  <si>
    <t>11/01/2023 12:00:00 a. m.</t>
  </si>
  <si>
    <t>3356.78</t>
  </si>
  <si>
    <t>04/01/2023 11:39:39 p. m.</t>
  </si>
  <si>
    <t>04/01/2023 12:00:00 a. m.</t>
  </si>
  <si>
    <t>P75W</t>
  </si>
  <si>
    <t>3556.16</t>
  </si>
  <si>
    <t>002 - AGUINALDO |  Gravado</t>
  </si>
  <si>
    <t>002 - AGUINALDO | Exento</t>
  </si>
  <si>
    <t xml:space="preserve">     REGIMEN SUELDOS Y SALARIOS E ING ASIMILADOS</t>
  </si>
  <si>
    <t>INICIO RL</t>
  </si>
  <si>
    <t>IMSS</t>
  </si>
  <si>
    <t>ISPT</t>
  </si>
  <si>
    <t>FONDO AHORRO</t>
  </si>
  <si>
    <t>PORCENTAJE DE DEDUCCIONES vs Ingresos</t>
  </si>
  <si>
    <t>049 - BONO DE ASISTENCIA |  Gravado</t>
  </si>
  <si>
    <t>049 - BONO DE ASISTENCIA | Exento</t>
  </si>
  <si>
    <t>003 - P T U Exento |  Gravado</t>
  </si>
  <si>
    <t>003 - P T U Exento | Exento</t>
  </si>
  <si>
    <t>029 - Vales Despensa |  Gravado</t>
  </si>
  <si>
    <t>029 - Vales Despensa | Exento</t>
  </si>
  <si>
    <t>028 - COMISIÓN COMPLEMENTARIA |  Gravado</t>
  </si>
  <si>
    <t>028 - COMISIÓN COMPLEMENTARIA | Exento</t>
  </si>
  <si>
    <t>038 - Gratificaciones |  Gravado</t>
  </si>
  <si>
    <t>038 - Gratificaciones | Exento</t>
  </si>
  <si>
    <t>021 - Prima Vac Exento Fijo |  Gravado</t>
  </si>
  <si>
    <t>021 - Prima Vac Exento Fijo | Exento</t>
  </si>
  <si>
    <t>004 - Ajuste de Moneda</t>
  </si>
  <si>
    <t>001 - Aportación trabaj  IMSS</t>
  </si>
  <si>
    <t>018 - Ahorro a la Vista SCYF</t>
  </si>
  <si>
    <t>268</t>
  </si>
  <si>
    <t>271</t>
  </si>
  <si>
    <t>273</t>
  </si>
  <si>
    <t>274</t>
  </si>
  <si>
    <t>despensa</t>
  </si>
  <si>
    <t>Presupuesto Mensual</t>
  </si>
  <si>
    <t>Sólo llena los campos que apliquen a tus finanzas</t>
  </si>
  <si>
    <t>Mes:</t>
  </si>
  <si>
    <t>Noviembre</t>
  </si>
  <si>
    <t>Enero</t>
  </si>
  <si>
    <t>Febrero</t>
  </si>
  <si>
    <t>DINERO QUE TIENES MENSUALMENTE</t>
  </si>
  <si>
    <t>Abril</t>
  </si>
  <si>
    <t>Concepto</t>
  </si>
  <si>
    <t>Monto $</t>
  </si>
  <si>
    <t>Mayo</t>
  </si>
  <si>
    <t xml:space="preserve">Salario 1 </t>
  </si>
  <si>
    <t xml:space="preserve">Negocio propio </t>
  </si>
  <si>
    <t>Junio</t>
  </si>
  <si>
    <t xml:space="preserve">Salario 2 </t>
  </si>
  <si>
    <t>Julio</t>
  </si>
  <si>
    <t xml:space="preserve">Honorarios </t>
  </si>
  <si>
    <t>Agosto</t>
  </si>
  <si>
    <t>Septiembre</t>
  </si>
  <si>
    <t>Total de ingresos</t>
  </si>
  <si>
    <t>Octubre</t>
  </si>
  <si>
    <t>Concepto / Gasto</t>
  </si>
  <si>
    <t>Monto</t>
  </si>
  <si>
    <t>Diciembre</t>
  </si>
  <si>
    <t>Casa</t>
  </si>
  <si>
    <t>Automóvil</t>
  </si>
  <si>
    <t>Salud</t>
  </si>
  <si>
    <t xml:space="preserve">Renta </t>
  </si>
  <si>
    <t xml:space="preserve">Gasolina </t>
  </si>
  <si>
    <t>Seguro de auto</t>
  </si>
  <si>
    <t>Transporte público (iglesia)</t>
  </si>
  <si>
    <t>Seguro de casa</t>
  </si>
  <si>
    <t xml:space="preserve"> </t>
  </si>
  <si>
    <t>Servicios</t>
  </si>
  <si>
    <t xml:space="preserve">Otros </t>
  </si>
  <si>
    <t>Seguro de vida</t>
  </si>
  <si>
    <t>Gas</t>
  </si>
  <si>
    <t>Personales</t>
  </si>
  <si>
    <t>Seguro médico</t>
  </si>
  <si>
    <t xml:space="preserve">Luz </t>
  </si>
  <si>
    <t>Higiene personal</t>
  </si>
  <si>
    <t>Mascotas</t>
  </si>
  <si>
    <t xml:space="preserve">Teléfono </t>
  </si>
  <si>
    <t>Recargas cel o plan</t>
  </si>
  <si>
    <t>Alimento</t>
  </si>
  <si>
    <t>Iglesia (contribución)</t>
  </si>
  <si>
    <t>Otros</t>
  </si>
  <si>
    <t>Deudas</t>
  </si>
  <si>
    <t xml:space="preserve">Agua </t>
  </si>
  <si>
    <t>Hijos</t>
  </si>
  <si>
    <t xml:space="preserve">Prestamo personal </t>
  </si>
  <si>
    <t xml:space="preserve">Predial </t>
  </si>
  <si>
    <t xml:space="preserve">Colegiaturas </t>
  </si>
  <si>
    <t xml:space="preserve">Tarjeta de crédito1 </t>
  </si>
  <si>
    <t xml:space="preserve">Tarjeta de crédito2 </t>
  </si>
  <si>
    <t>Alimentos</t>
  </si>
  <si>
    <t xml:space="preserve">Celular </t>
  </si>
  <si>
    <t xml:space="preserve">Crédito automotriz </t>
  </si>
  <si>
    <t xml:space="preserve">Clases extra </t>
  </si>
  <si>
    <t>Préstamo de consumo</t>
  </si>
  <si>
    <t>Total Gastos Fijos</t>
  </si>
  <si>
    <t>Dinero</t>
  </si>
  <si>
    <t>Recurso</t>
  </si>
  <si>
    <t>Reparaciones</t>
  </si>
  <si>
    <t xml:space="preserve">Cine / Teatro </t>
  </si>
  <si>
    <t>Ropa</t>
  </si>
  <si>
    <t>Productos de limpieza</t>
  </si>
  <si>
    <t>Salud (Medicina)</t>
  </si>
  <si>
    <t>Otros(electronica/linea bca)</t>
  </si>
  <si>
    <t>Fiesta / Bar</t>
  </si>
  <si>
    <t>Cosméticos</t>
  </si>
  <si>
    <t>Tintorería</t>
  </si>
  <si>
    <t xml:space="preserve">Mantenimiento  </t>
  </si>
  <si>
    <t xml:space="preserve">Estacionamiento </t>
  </si>
  <si>
    <t>Libros / Útiles</t>
  </si>
  <si>
    <t>Hotel</t>
  </si>
  <si>
    <t>Juguetes / Juegos</t>
  </si>
  <si>
    <t>Veterinario</t>
  </si>
  <si>
    <t>Transporte</t>
  </si>
  <si>
    <t>Juguetes</t>
  </si>
  <si>
    <t>Comidas</t>
  </si>
  <si>
    <t>Paseos</t>
  </si>
  <si>
    <t xml:space="preserve">Entretenimiento </t>
  </si>
  <si>
    <t>Cigarros</t>
  </si>
  <si>
    <t>Café / bebidas / Golosinas</t>
  </si>
  <si>
    <t>Total Gastos Variables</t>
  </si>
  <si>
    <t>Total de Gastos (Fijos + Variables)</t>
  </si>
  <si>
    <t>Tengo (Total de ingresos)</t>
  </si>
  <si>
    <t xml:space="preserve">Podré pagar (Capacidad de pago) </t>
  </si>
  <si>
    <t>Dinero que podrías destinar para deudas</t>
  </si>
  <si>
    <r>
      <t>Recuerda que tus deudas no deben superar el "</t>
    </r>
    <r>
      <rPr>
        <b/>
        <i/>
        <sz val="9"/>
        <color theme="1" tint="0.499984740745262"/>
        <rFont val="Avenir Black"/>
      </rPr>
      <t>Dinero que podrías destinar para deudas</t>
    </r>
    <r>
      <rPr>
        <i/>
        <sz val="9"/>
        <color theme="1" tint="0.499984740745262"/>
        <rFont val="Avenir Black"/>
      </rPr>
      <t>" que representa el 30% de tu "</t>
    </r>
    <r>
      <rPr>
        <b/>
        <i/>
        <sz val="9"/>
        <color theme="1" tint="0.499984740745262"/>
        <rFont val="Avenir Black"/>
      </rPr>
      <t>Total de ingresos</t>
    </r>
    <r>
      <rPr>
        <i/>
        <sz val="9"/>
        <color theme="1" tint="0.499984740745262"/>
        <rFont val="Avenir Black"/>
      </rPr>
      <t>".</t>
    </r>
  </si>
  <si>
    <t>Total de deudas</t>
  </si>
  <si>
    <r>
      <t xml:space="preserve">Estas son las acciones que debes tomar dependiendo el color en "Total de deudas":
</t>
    </r>
    <r>
      <rPr>
        <i/>
        <sz val="9"/>
        <color rgb="FF008000"/>
        <rFont val="Avenir Black"/>
      </rPr>
      <t>Verde:</t>
    </r>
    <r>
      <rPr>
        <i/>
        <sz val="9"/>
        <color theme="1" tint="0.499984740745262"/>
        <rFont val="Avenir Black"/>
      </rPr>
      <t xml:space="preserve"> </t>
    </r>
    <r>
      <rPr>
        <i/>
        <sz val="9"/>
        <color theme="1" tint="0.499984740745262"/>
        <rFont val="Avenir Book"/>
      </rPr>
      <t>Estas gastando correctamente en tus deudas.</t>
    </r>
    <r>
      <rPr>
        <i/>
        <sz val="9"/>
        <color theme="1" tint="0.499984740745262"/>
        <rFont val="Avenir Black"/>
      </rPr>
      <t xml:space="preserve">
</t>
    </r>
    <r>
      <rPr>
        <i/>
        <sz val="9"/>
        <color rgb="FFFECC66"/>
        <rFont val="Avenir Black"/>
      </rPr>
      <t>Amarillo:</t>
    </r>
    <r>
      <rPr>
        <i/>
        <sz val="9"/>
        <color theme="1" tint="0.499984740745262"/>
        <rFont val="Avenir Book"/>
      </rPr>
      <t xml:space="preserve"> Cuidado llegaste al 30% y no debes excederte.</t>
    </r>
    <r>
      <rPr>
        <i/>
        <sz val="9"/>
        <color theme="1" tint="0.499984740745262"/>
        <rFont val="Avenir Black"/>
      </rPr>
      <t xml:space="preserve">
</t>
    </r>
    <r>
      <rPr>
        <i/>
        <sz val="9"/>
        <color rgb="FFFF0000"/>
        <rFont val="Avenir Black"/>
      </rPr>
      <t>Rojo:</t>
    </r>
    <r>
      <rPr>
        <i/>
        <sz val="9"/>
        <color theme="1" tint="0.499984740745262"/>
        <rFont val="Avenir Black"/>
      </rPr>
      <t xml:space="preserve"> </t>
    </r>
    <r>
      <rPr>
        <i/>
        <sz val="9"/>
        <color theme="1" tint="0.499984740745262"/>
        <rFont val="Avenir Book"/>
      </rPr>
      <t>Superaste el 40% y no debes endeudarte más.</t>
    </r>
  </si>
  <si>
    <t>GASTOS FIJOS</t>
  </si>
  <si>
    <t>concepto</t>
  </si>
  <si>
    <t>servicios</t>
  </si>
  <si>
    <t>ene</t>
  </si>
  <si>
    <t>feb</t>
  </si>
  <si>
    <t>total</t>
  </si>
  <si>
    <t>cespt(agua)</t>
  </si>
  <si>
    <t>luz(cfe)</t>
  </si>
  <si>
    <t>gas</t>
  </si>
  <si>
    <t>alimentos</t>
  </si>
  <si>
    <t>transporte</t>
  </si>
  <si>
    <t>GASTOS VARIABLES</t>
  </si>
  <si>
    <t>tarjeta de credito</t>
  </si>
  <si>
    <t>GASTOS TOTALES</t>
  </si>
  <si>
    <t>predial</t>
  </si>
  <si>
    <t>manto privada</t>
  </si>
  <si>
    <t>carrito de verduras</t>
  </si>
  <si>
    <t>Supermercado (despensa)</t>
  </si>
  <si>
    <t>Mercado (rudy)</t>
  </si>
  <si>
    <t>recargas telcel</t>
  </si>
  <si>
    <t>cines</t>
  </si>
  <si>
    <t>cumpleaños</t>
  </si>
  <si>
    <t>Otros(cumpleaños)</t>
  </si>
  <si>
    <t>Otros (eventos Iglesia</t>
  </si>
  <si>
    <t>prestamo</t>
  </si>
  <si>
    <t>Gasto diario (transporte publico)</t>
  </si>
  <si>
    <t>oxxo</t>
  </si>
  <si>
    <t>cpras personales</t>
  </si>
  <si>
    <t>dulfi</t>
  </si>
  <si>
    <t>comida india bonita</t>
  </si>
  <si>
    <t>mercados y congelados</t>
  </si>
  <si>
    <t>coppel</t>
  </si>
  <si>
    <t>otros</t>
  </si>
  <si>
    <t>internet IZZI</t>
  </si>
  <si>
    <t>café de volada</t>
  </si>
  <si>
    <t>salud</t>
  </si>
  <si>
    <t>rudy</t>
  </si>
  <si>
    <t>el semillero</t>
  </si>
  <si>
    <t>piano casio</t>
  </si>
  <si>
    <t>comidas burger king</t>
  </si>
  <si>
    <t>gorditas torreon</t>
  </si>
  <si>
    <t>renta</t>
  </si>
  <si>
    <t>hipoteca</t>
  </si>
  <si>
    <t>AHORRO</t>
  </si>
  <si>
    <t>BASICOS  (indispensables para vivir dignamente)</t>
  </si>
  <si>
    <t>TOTAL BASICOS</t>
  </si>
  <si>
    <t>TOTAL LUJOS</t>
  </si>
  <si>
    <t>calimax</t>
  </si>
  <si>
    <t>oxxo (dulces)</t>
  </si>
  <si>
    <t>pizza little</t>
  </si>
  <si>
    <t xml:space="preserve"> florido:</t>
  </si>
  <si>
    <t>GRAN TOTAL SALIDAS DE DINERO</t>
  </si>
  <si>
    <t>PAGOS DE DEUDAS</t>
  </si>
  <si>
    <t>total1</t>
  </si>
  <si>
    <t>total2</t>
  </si>
  <si>
    <t>Otros Ingresos 1</t>
  </si>
  <si>
    <t>Otros Ingresos 2</t>
  </si>
  <si>
    <t>Otros (hipoteca)</t>
  </si>
  <si>
    <t>Mantto privada</t>
  </si>
  <si>
    <t xml:space="preserve">Internet  </t>
  </si>
  <si>
    <t>Otros (gtos)</t>
  </si>
  <si>
    <t>Gastos medicos (salud)</t>
  </si>
  <si>
    <t>mantenimientos Casa</t>
  </si>
  <si>
    <t xml:space="preserve"> LUJOS (Entretenimiento)</t>
  </si>
  <si>
    <t>LUJOS (Personales)</t>
  </si>
  <si>
    <t>Restaurantes(comidas)</t>
  </si>
  <si>
    <t>Hijos y Emprendimiento</t>
  </si>
  <si>
    <t>LUJOS  Mascotas</t>
  </si>
  <si>
    <t>LUJOS Viajes</t>
  </si>
  <si>
    <t>LUJOS Gastos Hormigas</t>
  </si>
  <si>
    <t>REGLA DE ORO:</t>
  </si>
  <si>
    <t>BASICOS</t>
  </si>
  <si>
    <t>LUJOS</t>
  </si>
  <si>
    <t>CORRECTO</t>
  </si>
  <si>
    <t>REAL</t>
  </si>
  <si>
    <t>5% META 2</t>
  </si>
  <si>
    <t>5% META 3</t>
  </si>
  <si>
    <t>diferencia</t>
  </si>
  <si>
    <t>montos</t>
  </si>
  <si>
    <t>20% DEUDAS (META 1)</t>
  </si>
  <si>
    <t>FONDO DE EMERGENCIA</t>
  </si>
  <si>
    <t>REGLA DE ORO PARA CLASIFICACION DE GASTOS</t>
  </si>
  <si>
    <t>IDEAL 3 meses</t>
  </si>
  <si>
    <t>AMBICIOSO 6 meses</t>
  </si>
  <si>
    <t>LUJOS  (NO  son indispensables, puedes vivir sin ellos)</t>
  </si>
  <si>
    <t>UTIL O PERD FISC DEL MES</t>
  </si>
  <si>
    <t>B</t>
  </si>
  <si>
    <t>porcentajes</t>
  </si>
  <si>
    <t>fecha</t>
  </si>
  <si>
    <t>valor</t>
  </si>
  <si>
    <t>mes</t>
  </si>
  <si>
    <t>salario</t>
  </si>
  <si>
    <t>ingresos</t>
  </si>
  <si>
    <t>egresos</t>
  </si>
  <si>
    <t>entradas</t>
  </si>
  <si>
    <t>salidas</t>
  </si>
  <si>
    <t>saldo</t>
  </si>
  <si>
    <t>saldo acumulado</t>
  </si>
  <si>
    <t>entradas y salidas</t>
  </si>
  <si>
    <t>Suma de valor</t>
  </si>
  <si>
    <t>Etiquetas de fila</t>
  </si>
  <si>
    <t>Total general</t>
  </si>
  <si>
    <t>CONCEPTO</t>
  </si>
  <si>
    <t>Total salario</t>
  </si>
  <si>
    <t>puntualidad gravado</t>
  </si>
  <si>
    <t>asistencia gravado</t>
  </si>
  <si>
    <t>ptu gravado</t>
  </si>
  <si>
    <t>ptu exento</t>
  </si>
  <si>
    <t>aguinaldo gravado</t>
  </si>
  <si>
    <t>aguinaldo exento</t>
  </si>
  <si>
    <t>prima dominical exento</t>
  </si>
  <si>
    <t>sueldo ordinario exento</t>
  </si>
  <si>
    <t>sueldo ordinario gravado</t>
  </si>
  <si>
    <t>comisiones gravadas</t>
  </si>
  <si>
    <t>gratificaciones gravada</t>
  </si>
  <si>
    <t>prima vac gravada</t>
  </si>
  <si>
    <t>prima vac exenta</t>
  </si>
  <si>
    <t>PERCEPCIONES</t>
  </si>
  <si>
    <t>INFONAVIT</t>
  </si>
  <si>
    <t>OTRAS DEDUCCIONES</t>
  </si>
  <si>
    <t>salud y educación</t>
  </si>
  <si>
    <t>medicamentos</t>
  </si>
  <si>
    <t>TOTAL1</t>
  </si>
  <si>
    <t>TOTAL2</t>
  </si>
  <si>
    <t>TOTAL3</t>
  </si>
  <si>
    <t>TOTAL4</t>
  </si>
  <si>
    <t>recreacion</t>
  </si>
  <si>
    <t>total5</t>
  </si>
  <si>
    <t>total6</t>
  </si>
  <si>
    <t>total7</t>
  </si>
  <si>
    <t>Gastaré (Total de gastos para BASICOS)</t>
  </si>
  <si>
    <t>GASTOS FIJOS INDISPENSABLE (no puedes prescindir de ellos) BASICOS</t>
  </si>
  <si>
    <t>GASTOS VARIABLES QUE SÓLO HACES DE VEZ EN CUANDO LUJOS</t>
  </si>
  <si>
    <t>transportes</t>
  </si>
  <si>
    <t>g personales</t>
  </si>
  <si>
    <t>pagos a capital</t>
  </si>
  <si>
    <t>articulos higiene dax</t>
  </si>
  <si>
    <t>escuela de hijos,impresiones</t>
  </si>
  <si>
    <t>farmacias acetona</t>
  </si>
  <si>
    <t>tortillas,pan,bonpane</t>
  </si>
  <si>
    <t>pago deuda</t>
  </si>
  <si>
    <t>banco bbv</t>
  </si>
  <si>
    <t>empeños 1</t>
  </si>
  <si>
    <t>empeños 2</t>
  </si>
  <si>
    <t>juanita</t>
  </si>
  <si>
    <t>libros</t>
  </si>
  <si>
    <t>papa</t>
  </si>
  <si>
    <t>hijo 2</t>
  </si>
  <si>
    <t>mama</t>
  </si>
  <si>
    <t>hijo1</t>
  </si>
  <si>
    <t>pasajes1</t>
  </si>
  <si>
    <t xml:space="preserve"> pasaje2</t>
  </si>
  <si>
    <t>abarrotes pp</t>
  </si>
  <si>
    <t xml:space="preserve"> accesorios,claves,steren</t>
  </si>
  <si>
    <t>TOTAL DEUDAS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</si>
</sst>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* #,##0.00_-;\-&quot;$&quot;* #,##0.00_-;_-&quot;$&quot;* &quot;-&quot;??_-;_-@_-"/>
    <numFmt numFmtId="165" formatCode="dd/mm/yyyy;@"/>
    <numFmt numFmtId="166" formatCode="_-[$$-80A]* #,##0.00_-;\-[$$-80A]* #,##0.00_-;_-[$$-80A]* &quot;-&quot;??_-;_-@_-"/>
  </numFmts>
  <fonts count="5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theme="0" tint="-4.9989318521683403E-2"/>
      <name val="Calibri"/>
      <family val="2"/>
      <scheme val="minor"/>
    </font>
    <font>
      <sz val="9"/>
      <color theme="0" tint="-4.9989318521683403E-2"/>
      <name val="Calibri"/>
      <family val="2"/>
      <scheme val="minor"/>
    </font>
    <font>
      <sz val="9"/>
      <color theme="0"/>
      <name val="Calibri"/>
      <family val="2"/>
      <scheme val="minor"/>
    </font>
    <font>
      <sz val="11"/>
      <color theme="1"/>
      <name val="Avenir Book"/>
    </font>
    <font>
      <b/>
      <sz val="14"/>
      <color theme="0"/>
      <name val="Avenir Book"/>
    </font>
    <font>
      <b/>
      <sz val="30"/>
      <name val="Avenir Book"/>
    </font>
    <font>
      <b/>
      <sz val="26"/>
      <name val="Avenir Book"/>
    </font>
    <font>
      <b/>
      <i/>
      <sz val="11"/>
      <name val="Avenir Book"/>
    </font>
    <font>
      <sz val="25"/>
      <name val="Avenir Book"/>
    </font>
    <font>
      <sz val="11"/>
      <color theme="0"/>
      <name val="Avenir Book"/>
    </font>
    <font>
      <sz val="10"/>
      <color theme="0"/>
      <name val="Avenir Book"/>
    </font>
    <font>
      <sz val="10"/>
      <color theme="1"/>
      <name val="Avenir Book"/>
    </font>
    <font>
      <b/>
      <sz val="10"/>
      <color theme="0"/>
      <name val="Avenir Book"/>
    </font>
    <font>
      <sz val="10"/>
      <name val="Avenir Book"/>
    </font>
    <font>
      <b/>
      <sz val="10"/>
      <name val="Avenir Book"/>
    </font>
    <font>
      <b/>
      <sz val="10"/>
      <color theme="1"/>
      <name val="Avenir Book"/>
    </font>
    <font>
      <sz val="11"/>
      <name val="Avenir Book"/>
    </font>
    <font>
      <i/>
      <sz val="9"/>
      <color theme="1" tint="0.499984740745262"/>
      <name val="Avenir Black"/>
    </font>
    <font>
      <b/>
      <i/>
      <sz val="9"/>
      <color theme="1" tint="0.499984740745262"/>
      <name val="Avenir Black"/>
    </font>
    <font>
      <sz val="11"/>
      <color theme="7"/>
      <name val="Avenir Book"/>
    </font>
    <font>
      <i/>
      <sz val="9"/>
      <color rgb="FF008000"/>
      <name val="Avenir Black"/>
    </font>
    <font>
      <i/>
      <sz val="9"/>
      <color theme="1" tint="0.499984740745262"/>
      <name val="Avenir Book"/>
    </font>
    <font>
      <i/>
      <sz val="9"/>
      <color rgb="FFFECC66"/>
      <name val="Avenir Black"/>
    </font>
    <font>
      <i/>
      <sz val="9"/>
      <color rgb="FFFF0000"/>
      <name val="Avenir Black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6"/>
      <color rgb="FFFFC000"/>
      <name val="Avenir Book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15"/>
      <color theme="1"/>
      <name val="Avenir Book"/>
    </font>
    <font>
      <sz val="15"/>
      <color theme="0"/>
      <name val="Avenir Book"/>
    </font>
    <font>
      <sz val="12"/>
      <name val="Avenir Book"/>
    </font>
    <font>
      <b/>
      <sz val="12"/>
      <name val="Avenir Book"/>
    </font>
    <font>
      <b/>
      <sz val="11"/>
      <color theme="1"/>
      <name val="Avenir Book"/>
    </font>
    <font>
      <b/>
      <sz val="11"/>
      <name val="Avenir Book"/>
    </font>
    <font>
      <sz val="11"/>
      <color rgb="FFFF0000"/>
      <name val="Avenir Book"/>
    </font>
    <font>
      <sz val="11"/>
      <color rgb="FFFFC000"/>
      <name val="Avenir Book"/>
    </font>
    <font>
      <b/>
      <sz val="11"/>
      <color theme="0"/>
      <name val="Avenir Book"/>
    </font>
    <font>
      <b/>
      <sz val="20"/>
      <color theme="0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u/>
      <sz val="9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theme="0"/>
      <name val="Calibri Light"/>
      <family val="2"/>
      <scheme val="major"/>
    </font>
    <font>
      <b/>
      <sz val="9"/>
      <color rgb="FF00FFFF"/>
      <name val="Calibri"/>
      <family val="2"/>
      <scheme val="minor"/>
    </font>
    <font>
      <b/>
      <sz val="15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D60093"/>
        <bgColor indexed="64"/>
      </patternFill>
    </fill>
    <fill>
      <patternFill patternType="solid">
        <fgColor theme="5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FF9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thin">
        <color theme="1" tint="0.499984740745262"/>
      </bottom>
      <diagonal/>
    </border>
    <border>
      <left/>
      <right style="medium">
        <color auto="1"/>
      </right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medium">
        <color auto="1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dashDot">
        <color auto="1"/>
      </left>
      <right/>
      <top style="dashDot">
        <color auto="1"/>
      </top>
      <bottom/>
      <diagonal/>
    </border>
    <border>
      <left/>
      <right/>
      <top style="dashDot">
        <color auto="1"/>
      </top>
      <bottom/>
      <diagonal/>
    </border>
    <border>
      <left/>
      <right style="medium">
        <color auto="1"/>
      </right>
      <top style="dashDot">
        <color auto="1"/>
      </top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medium">
        <color auto="1"/>
      </right>
      <top/>
      <bottom style="dashDot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</cellStyleXfs>
  <cellXfs count="454">
    <xf numFmtId="0" fontId="0" fillId="0" borderId="0" xfId="0"/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4" fontId="4" fillId="5" borderId="1" xfId="0" applyNumberFormat="1" applyFont="1" applyFill="1" applyBorder="1"/>
    <xf numFmtId="4" fontId="4" fillId="5" borderId="1" xfId="0" applyNumberFormat="1" applyFont="1" applyFill="1" applyBorder="1" applyAlignment="1">
      <alignment horizontal="center"/>
    </xf>
    <xf numFmtId="0" fontId="4" fillId="0" borderId="0" xfId="0" applyFont="1"/>
    <xf numFmtId="0" fontId="0" fillId="2" borderId="0" xfId="0" applyFill="1"/>
    <xf numFmtId="0" fontId="6" fillId="0" borderId="0" xfId="0" applyFont="1" applyFill="1" applyAlignment="1"/>
    <xf numFmtId="0" fontId="7" fillId="0" borderId="0" xfId="0" applyFont="1" applyFill="1" applyAlignment="1"/>
    <xf numFmtId="0" fontId="6" fillId="0" borderId="0" xfId="0" applyFont="1" applyFill="1" applyAlignment="1">
      <alignment horizontal="center"/>
    </xf>
    <xf numFmtId="0" fontId="7" fillId="0" borderId="0" xfId="0" applyFont="1" applyFill="1" applyAlignment="1">
      <alignment horizontal="center"/>
    </xf>
    <xf numFmtId="4" fontId="7" fillId="0" borderId="0" xfId="0" applyNumberFormat="1" applyFont="1" applyFill="1" applyAlignment="1"/>
    <xf numFmtId="4" fontId="6" fillId="0" borderId="0" xfId="0" applyNumberFormat="1" applyFont="1" applyFill="1" applyAlignment="1"/>
    <xf numFmtId="4" fontId="7" fillId="0" borderId="0" xfId="0" applyNumberFormat="1" applyFont="1" applyFill="1" applyAlignment="1">
      <alignment horizontal="center"/>
    </xf>
    <xf numFmtId="4" fontId="6" fillId="0" borderId="0" xfId="0" applyNumberFormat="1" applyFont="1" applyFill="1" applyAlignment="1">
      <alignment horizontal="center"/>
    </xf>
    <xf numFmtId="0" fontId="9" fillId="0" borderId="0" xfId="0" applyFont="1" applyFill="1" applyAlignment="1">
      <alignment horizontal="center"/>
    </xf>
    <xf numFmtId="0" fontId="9" fillId="0" borderId="0" xfId="0" applyFont="1" applyFill="1" applyAlignment="1"/>
    <xf numFmtId="0" fontId="10" fillId="0" borderId="0" xfId="0" applyFont="1" applyFill="1" applyAlignment="1">
      <alignment horizontal="center"/>
    </xf>
    <xf numFmtId="0" fontId="10" fillId="0" borderId="0" xfId="0" applyFont="1" applyFill="1" applyAlignment="1"/>
    <xf numFmtId="0" fontId="11" fillId="4" borderId="1" xfId="0" applyNumberFormat="1" applyFont="1" applyFill="1" applyBorder="1" applyAlignment="1">
      <alignment horizontal="center"/>
    </xf>
    <xf numFmtId="0" fontId="12" fillId="4" borderId="3" xfId="0" applyNumberFormat="1" applyFont="1" applyFill="1" applyBorder="1" applyAlignment="1"/>
    <xf numFmtId="0" fontId="12" fillId="4" borderId="3" xfId="0" applyNumberFormat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14" fillId="0" borderId="0" xfId="0" applyFont="1"/>
    <xf numFmtId="0" fontId="14" fillId="7" borderId="0" xfId="0" applyFont="1" applyFill="1"/>
    <xf numFmtId="0" fontId="15" fillId="14" borderId="0" xfId="0" applyFont="1" applyFill="1" applyAlignment="1">
      <alignment vertical="center"/>
    </xf>
    <xf numFmtId="0" fontId="17" fillId="14" borderId="0" xfId="0" applyFont="1" applyFill="1" applyAlignment="1"/>
    <xf numFmtId="0" fontId="18" fillId="14" borderId="0" xfId="0" applyFont="1" applyFill="1" applyBorder="1" applyAlignment="1">
      <alignment vertical="center"/>
    </xf>
    <xf numFmtId="0" fontId="19" fillId="15" borderId="0" xfId="0" applyFont="1" applyFill="1" applyAlignment="1">
      <alignment vertical="center"/>
    </xf>
    <xf numFmtId="0" fontId="20" fillId="7" borderId="0" xfId="0" applyFont="1" applyFill="1"/>
    <xf numFmtId="0" fontId="18" fillId="14" borderId="30" xfId="0" applyFont="1" applyFill="1" applyBorder="1" applyAlignment="1">
      <alignment vertical="center"/>
    </xf>
    <xf numFmtId="0" fontId="22" fillId="17" borderId="34" xfId="0" applyFont="1" applyFill="1" applyBorder="1"/>
    <xf numFmtId="0" fontId="21" fillId="17" borderId="0" xfId="0" applyFont="1" applyFill="1" applyBorder="1"/>
    <xf numFmtId="0" fontId="23" fillId="17" borderId="0" xfId="0" applyFont="1" applyFill="1" applyBorder="1"/>
    <xf numFmtId="0" fontId="24" fillId="18" borderId="0" xfId="0" applyFont="1" applyFill="1" applyBorder="1"/>
    <xf numFmtId="0" fontId="25" fillId="18" borderId="0" xfId="0" applyFont="1" applyFill="1" applyBorder="1"/>
    <xf numFmtId="0" fontId="24" fillId="18" borderId="35" xfId="0" applyFont="1" applyFill="1" applyBorder="1"/>
    <xf numFmtId="0" fontId="22" fillId="7" borderId="0" xfId="0" applyFont="1" applyFill="1" applyBorder="1"/>
    <xf numFmtId="164" fontId="22" fillId="7" borderId="36" xfId="2" applyFont="1" applyFill="1" applyBorder="1"/>
    <xf numFmtId="164" fontId="22" fillId="7" borderId="37" xfId="2" applyFont="1" applyFill="1" applyBorder="1"/>
    <xf numFmtId="164" fontId="22" fillId="7" borderId="38" xfId="2" applyFont="1" applyFill="1" applyBorder="1"/>
    <xf numFmtId="164" fontId="22" fillId="7" borderId="39" xfId="2" applyFont="1" applyFill="1" applyBorder="1"/>
    <xf numFmtId="0" fontId="22" fillId="7" borderId="34" xfId="0" applyFont="1" applyFill="1" applyBorder="1"/>
    <xf numFmtId="0" fontId="22" fillId="7" borderId="35" xfId="0" applyFont="1" applyFill="1" applyBorder="1"/>
    <xf numFmtId="0" fontId="21" fillId="17" borderId="30" xfId="0" applyFont="1" applyFill="1" applyBorder="1" applyAlignment="1">
      <alignment horizontal="center"/>
    </xf>
    <xf numFmtId="164" fontId="25" fillId="18" borderId="30" xfId="2" applyFont="1" applyFill="1" applyBorder="1" applyAlignment="1"/>
    <xf numFmtId="164" fontId="25" fillId="18" borderId="41" xfId="2" applyFont="1" applyFill="1" applyBorder="1" applyAlignment="1"/>
    <xf numFmtId="164" fontId="14" fillId="7" borderId="0" xfId="0" applyNumberFormat="1" applyFont="1" applyFill="1"/>
    <xf numFmtId="0" fontId="24" fillId="14" borderId="34" xfId="0" applyFont="1" applyFill="1" applyBorder="1" applyAlignment="1">
      <alignment horizontal="left"/>
    </xf>
    <xf numFmtId="0" fontId="24" fillId="15" borderId="0" xfId="0" applyFont="1" applyFill="1" applyBorder="1" applyAlignment="1">
      <alignment horizontal="center"/>
    </xf>
    <xf numFmtId="0" fontId="24" fillId="14" borderId="0" xfId="0" applyFont="1" applyFill="1" applyBorder="1" applyAlignment="1">
      <alignment horizontal="left"/>
    </xf>
    <xf numFmtId="0" fontId="22" fillId="7" borderId="0" xfId="0" applyFont="1" applyFill="1" applyBorder="1" applyAlignment="1">
      <alignment horizontal="right"/>
    </xf>
    <xf numFmtId="0" fontId="24" fillId="15" borderId="35" xfId="0" applyFont="1" applyFill="1" applyBorder="1" applyAlignment="1">
      <alignment horizontal="center"/>
    </xf>
    <xf numFmtId="0" fontId="25" fillId="14" borderId="34" xfId="0" applyFont="1" applyFill="1" applyBorder="1" applyAlignment="1">
      <alignment horizontal="left"/>
    </xf>
    <xf numFmtId="0" fontId="25" fillId="14" borderId="0" xfId="0" applyFont="1" applyFill="1" applyBorder="1"/>
    <xf numFmtId="0" fontId="26" fillId="0" borderId="0" xfId="0" applyFont="1" applyBorder="1"/>
    <xf numFmtId="0" fontId="21" fillId="0" borderId="0" xfId="0" applyFont="1" applyFill="1" applyBorder="1" applyAlignment="1">
      <alignment horizontal="center"/>
    </xf>
    <xf numFmtId="0" fontId="25" fillId="14" borderId="35" xfId="0" applyFont="1" applyFill="1" applyBorder="1"/>
    <xf numFmtId="0" fontId="22" fillId="7" borderId="34" xfId="0" applyFont="1" applyFill="1" applyBorder="1" applyAlignment="1">
      <alignment horizontal="left"/>
    </xf>
    <xf numFmtId="164" fontId="22" fillId="7" borderId="0" xfId="2" applyFont="1" applyFill="1" applyBorder="1"/>
    <xf numFmtId="0" fontId="22" fillId="7" borderId="0" xfId="0" applyFont="1" applyFill="1" applyBorder="1" applyAlignment="1">
      <alignment horizontal="left"/>
    </xf>
    <xf numFmtId="164" fontId="22" fillId="7" borderId="35" xfId="2" applyFont="1" applyFill="1" applyBorder="1"/>
    <xf numFmtId="0" fontId="22" fillId="0" borderId="0" xfId="0" applyFont="1" applyBorder="1"/>
    <xf numFmtId="164" fontId="24" fillId="7" borderId="0" xfId="2" applyFont="1" applyFill="1" applyBorder="1"/>
    <xf numFmtId="0" fontId="23" fillId="19" borderId="42" xfId="0" applyFont="1" applyFill="1" applyBorder="1"/>
    <xf numFmtId="0" fontId="21" fillId="19" borderId="43" xfId="0" applyFont="1" applyFill="1" applyBorder="1"/>
    <xf numFmtId="0" fontId="21" fillId="19" borderId="44" xfId="0" applyFont="1" applyFill="1" applyBorder="1"/>
    <xf numFmtId="0" fontId="22" fillId="7" borderId="0" xfId="0" applyFont="1" applyFill="1" applyAlignment="1">
      <alignment horizontal="left"/>
    </xf>
    <xf numFmtId="0" fontId="22" fillId="7" borderId="45" xfId="0" applyFont="1" applyFill="1" applyBorder="1"/>
    <xf numFmtId="0" fontId="22" fillId="7" borderId="0" xfId="0" applyFont="1" applyFill="1"/>
    <xf numFmtId="164" fontId="22" fillId="7" borderId="0" xfId="2" applyFont="1" applyFill="1"/>
    <xf numFmtId="0" fontId="22" fillId="7" borderId="46" xfId="0" applyFont="1" applyFill="1" applyBorder="1"/>
    <xf numFmtId="0" fontId="22" fillId="7" borderId="47" xfId="0" applyFont="1" applyFill="1" applyBorder="1"/>
    <xf numFmtId="164" fontId="22" fillId="7" borderId="48" xfId="2" applyFont="1" applyFill="1" applyBorder="1"/>
    <xf numFmtId="0" fontId="21" fillId="7" borderId="34" xfId="0" applyFont="1" applyFill="1" applyBorder="1" applyAlignment="1">
      <alignment horizontal="center"/>
    </xf>
    <xf numFmtId="0" fontId="21" fillId="7" borderId="0" xfId="0" applyFont="1" applyFill="1" applyBorder="1" applyAlignment="1">
      <alignment horizontal="center"/>
    </xf>
    <xf numFmtId="0" fontId="21" fillId="7" borderId="35" xfId="0" applyFont="1" applyFill="1" applyBorder="1" applyAlignment="1">
      <alignment horizontal="center"/>
    </xf>
    <xf numFmtId="0" fontId="21" fillId="14" borderId="0" xfId="0" applyFont="1" applyFill="1" applyBorder="1" applyAlignment="1">
      <alignment horizontal="left"/>
    </xf>
    <xf numFmtId="0" fontId="25" fillId="14" borderId="0" xfId="0" applyFont="1" applyFill="1" applyBorder="1" applyAlignment="1">
      <alignment horizontal="left"/>
    </xf>
    <xf numFmtId="0" fontId="25" fillId="14" borderId="35" xfId="0" applyFont="1" applyFill="1" applyBorder="1" applyAlignment="1">
      <alignment horizontal="left"/>
    </xf>
    <xf numFmtId="0" fontId="26" fillId="7" borderId="0" xfId="0" applyFont="1" applyFill="1" applyBorder="1"/>
    <xf numFmtId="0" fontId="27" fillId="7" borderId="49" xfId="0" applyFont="1" applyFill="1" applyBorder="1" applyAlignment="1">
      <alignment horizontal="center"/>
    </xf>
    <xf numFmtId="0" fontId="27" fillId="7" borderId="0" xfId="0" applyFont="1" applyFill="1" applyBorder="1" applyAlignment="1">
      <alignment horizontal="center"/>
    </xf>
    <xf numFmtId="164" fontId="14" fillId="7" borderId="0" xfId="0" applyNumberFormat="1" applyFont="1" applyFill="1" applyBorder="1" applyAlignment="1">
      <alignment horizontal="center"/>
    </xf>
    <xf numFmtId="0" fontId="14" fillId="7" borderId="0" xfId="0" applyFont="1" applyFill="1" applyBorder="1" applyAlignment="1">
      <alignment horizontal="center"/>
    </xf>
    <xf numFmtId="0" fontId="14" fillId="7" borderId="0" xfId="0" applyFont="1" applyFill="1" applyBorder="1"/>
    <xf numFmtId="0" fontId="14" fillId="7" borderId="49" xfId="0" applyFont="1" applyFill="1" applyBorder="1"/>
    <xf numFmtId="0" fontId="20" fillId="17" borderId="31" xfId="0" applyFont="1" applyFill="1" applyBorder="1"/>
    <xf numFmtId="0" fontId="20" fillId="17" borderId="32" xfId="0" applyFont="1" applyFill="1" applyBorder="1"/>
    <xf numFmtId="0" fontId="20" fillId="3" borderId="32" xfId="0" applyFont="1" applyFill="1" applyBorder="1" applyAlignment="1">
      <alignment horizontal="center"/>
    </xf>
    <xf numFmtId="0" fontId="21" fillId="10" borderId="33" xfId="0" applyFont="1" applyFill="1" applyBorder="1" applyAlignment="1"/>
    <xf numFmtId="164" fontId="14" fillId="20" borderId="30" xfId="2" applyFont="1" applyFill="1" applyBorder="1" applyAlignment="1">
      <alignment horizontal="left" vertical="center"/>
    </xf>
    <xf numFmtId="164" fontId="14" fillId="21" borderId="30" xfId="2" applyFont="1" applyFill="1" applyBorder="1" applyAlignment="1">
      <alignment vertical="center"/>
    </xf>
    <xf numFmtId="164" fontId="14" fillId="21" borderId="30" xfId="2" applyFont="1" applyFill="1" applyBorder="1" applyAlignment="1">
      <alignment horizontal="left" vertical="center"/>
    </xf>
    <xf numFmtId="164" fontId="14" fillId="11" borderId="41" xfId="2" applyFont="1" applyFill="1" applyBorder="1" applyAlignment="1">
      <alignment vertical="center"/>
    </xf>
    <xf numFmtId="164" fontId="14" fillId="7" borderId="49" xfId="2" applyFont="1" applyFill="1" applyBorder="1" applyAlignment="1">
      <alignment horizontal="left" vertical="center"/>
    </xf>
    <xf numFmtId="164" fontId="14" fillId="7" borderId="0" xfId="2" applyFont="1" applyFill="1" applyBorder="1" applyAlignment="1">
      <alignment horizontal="left" vertical="center"/>
    </xf>
    <xf numFmtId="164" fontId="14" fillId="7" borderId="49" xfId="2" applyFont="1" applyFill="1" applyBorder="1" applyAlignment="1">
      <alignment vertical="center"/>
    </xf>
    <xf numFmtId="164" fontId="14" fillId="7" borderId="0" xfId="2" applyFont="1" applyFill="1" applyBorder="1" applyAlignment="1">
      <alignment vertical="center"/>
    </xf>
    <xf numFmtId="0" fontId="32" fillId="7" borderId="0" xfId="0" applyFont="1" applyFill="1" applyBorder="1" applyAlignment="1">
      <alignment vertical="center" wrapText="1"/>
    </xf>
    <xf numFmtId="0" fontId="14" fillId="7" borderId="16" xfId="0" applyFont="1" applyFill="1" applyBorder="1"/>
    <xf numFmtId="0" fontId="35" fillId="0" borderId="0" xfId="0" applyFont="1"/>
    <xf numFmtId="9" fontId="38" fillId="7" borderId="0" xfId="1" applyFont="1" applyFill="1" applyAlignment="1">
      <alignment horizontal="center"/>
    </xf>
    <xf numFmtId="0" fontId="14" fillId="0" borderId="0" xfId="0" applyFont="1" applyAlignment="1">
      <alignment horizontal="center"/>
    </xf>
    <xf numFmtId="0" fontId="14" fillId="7" borderId="0" xfId="0" applyFont="1" applyFill="1" applyAlignment="1">
      <alignment horizontal="center"/>
    </xf>
    <xf numFmtId="0" fontId="13" fillId="0" borderId="0" xfId="0" applyFont="1" applyFill="1" applyAlignment="1">
      <alignment horizontal="center"/>
    </xf>
    <xf numFmtId="0" fontId="12" fillId="0" borderId="0" xfId="0" applyNumberFormat="1" applyFont="1" applyFill="1" applyBorder="1" applyAlignment="1">
      <alignment horizontal="center"/>
    </xf>
    <xf numFmtId="0" fontId="39" fillId="0" borderId="0" xfId="0" applyFont="1" applyFill="1" applyAlignment="1">
      <alignment horizontal="center"/>
    </xf>
    <xf numFmtId="0" fontId="40" fillId="0" borderId="0" xfId="0" applyFont="1" applyFill="1" applyAlignment="1">
      <alignment horizontal="center"/>
    </xf>
    <xf numFmtId="0" fontId="40" fillId="0" borderId="29" xfId="0" applyNumberFormat="1" applyFont="1" applyFill="1" applyBorder="1" applyAlignment="1">
      <alignment horizontal="center"/>
    </xf>
    <xf numFmtId="0" fontId="40" fillId="0" borderId="0" xfId="0" applyNumberFormat="1" applyFont="1" applyFill="1" applyBorder="1" applyAlignment="1">
      <alignment horizontal="center"/>
    </xf>
    <xf numFmtId="4" fontId="40" fillId="0" borderId="0" xfId="0" applyNumberFormat="1" applyFont="1" applyFill="1" applyAlignment="1">
      <alignment horizontal="center"/>
    </xf>
    <xf numFmtId="4" fontId="39" fillId="0" borderId="0" xfId="0" applyNumberFormat="1" applyFont="1" applyFill="1" applyAlignment="1">
      <alignment horizontal="center"/>
    </xf>
    <xf numFmtId="0" fontId="12" fillId="0" borderId="0" xfId="0" applyNumberFormat="1" applyFont="1" applyFill="1" applyBorder="1" applyAlignment="1"/>
    <xf numFmtId="0" fontId="12" fillId="0" borderId="26" xfId="0" applyNumberFormat="1" applyFont="1" applyFill="1" applyBorder="1" applyAlignment="1">
      <alignment horizontal="center"/>
    </xf>
    <xf numFmtId="0" fontId="12" fillId="0" borderId="27" xfId="0" applyNumberFormat="1" applyFont="1" applyFill="1" applyBorder="1" applyAlignment="1"/>
    <xf numFmtId="0" fontId="12" fillId="0" borderId="27" xfId="0" applyNumberFormat="1" applyFont="1" applyFill="1" applyBorder="1" applyAlignment="1">
      <alignment horizontal="center"/>
    </xf>
    <xf numFmtId="4" fontId="26" fillId="7" borderId="0" xfId="0" applyNumberFormat="1" applyFont="1" applyFill="1" applyBorder="1"/>
    <xf numFmtId="4" fontId="22" fillId="7" borderId="35" xfId="0" applyNumberFormat="1" applyFont="1" applyFill="1" applyBorder="1"/>
    <xf numFmtId="0" fontId="1" fillId="0" borderId="0" xfId="0" applyFont="1"/>
    <xf numFmtId="0" fontId="1" fillId="0" borderId="0" xfId="0" applyFont="1" applyAlignment="1">
      <alignment horizontal="center"/>
    </xf>
    <xf numFmtId="9" fontId="14" fillId="7" borderId="0" xfId="1" applyFont="1" applyFill="1" applyAlignment="1">
      <alignment horizontal="center"/>
    </xf>
    <xf numFmtId="0" fontId="14" fillId="7" borderId="1" xfId="0" applyFont="1" applyFill="1" applyBorder="1"/>
    <xf numFmtId="0" fontId="41" fillId="7" borderId="0" xfId="0" applyFont="1" applyFill="1"/>
    <xf numFmtId="0" fontId="42" fillId="7" borderId="0" xfId="0" applyFont="1" applyFill="1"/>
    <xf numFmtId="0" fontId="41" fillId="0" borderId="0" xfId="0" applyFont="1"/>
    <xf numFmtId="0" fontId="43" fillId="7" borderId="0" xfId="0" applyFont="1" applyFill="1"/>
    <xf numFmtId="0" fontId="44" fillId="7" borderId="0" xfId="0" applyFont="1" applyFill="1"/>
    <xf numFmtId="0" fontId="26" fillId="12" borderId="30" xfId="0" applyFont="1" applyFill="1" applyBorder="1"/>
    <xf numFmtId="0" fontId="26" fillId="12" borderId="41" xfId="0" applyFont="1" applyFill="1" applyBorder="1"/>
    <xf numFmtId="164" fontId="45" fillId="7" borderId="0" xfId="0" applyNumberFormat="1" applyFont="1" applyFill="1"/>
    <xf numFmtId="4" fontId="14" fillId="7" borderId="1" xfId="0" applyNumberFormat="1" applyFont="1" applyFill="1" applyBorder="1"/>
    <xf numFmtId="0" fontId="14" fillId="7" borderId="1" xfId="0" applyFont="1" applyFill="1" applyBorder="1" applyAlignment="1">
      <alignment horizontal="center"/>
    </xf>
    <xf numFmtId="164" fontId="14" fillId="7" borderId="1" xfId="0" applyNumberFormat="1" applyFont="1" applyFill="1" applyBorder="1"/>
    <xf numFmtId="4" fontId="14" fillId="7" borderId="0" xfId="0" applyNumberFormat="1" applyFont="1" applyFill="1"/>
    <xf numFmtId="9" fontId="45" fillId="7" borderId="0" xfId="1" applyFont="1" applyFill="1" applyAlignment="1">
      <alignment horizontal="center"/>
    </xf>
    <xf numFmtId="4" fontId="45" fillId="7" borderId="1" xfId="0" applyNumberFormat="1" applyFont="1" applyFill="1" applyBorder="1"/>
    <xf numFmtId="164" fontId="45" fillId="7" borderId="1" xfId="0" applyNumberFormat="1" applyFont="1" applyFill="1" applyBorder="1"/>
    <xf numFmtId="0" fontId="45" fillId="7" borderId="0" xfId="0" applyFont="1" applyFill="1"/>
    <xf numFmtId="9" fontId="45" fillId="7" borderId="1" xfId="1" applyFont="1" applyFill="1" applyBorder="1" applyAlignment="1">
      <alignment horizontal="center"/>
    </xf>
    <xf numFmtId="4" fontId="0" fillId="0" borderId="0" xfId="0" applyNumberFormat="1"/>
    <xf numFmtId="164" fontId="14" fillId="7" borderId="1" xfId="0" applyNumberFormat="1" applyFont="1" applyFill="1" applyBorder="1" applyAlignment="1">
      <alignment horizontal="center"/>
    </xf>
    <xf numFmtId="4" fontId="14" fillId="7" borderId="1" xfId="0" applyNumberFormat="1" applyFont="1" applyFill="1" applyBorder="1" applyAlignment="1">
      <alignment horizontal="center"/>
    </xf>
    <xf numFmtId="4" fontId="45" fillId="7" borderId="1" xfId="0" applyNumberFormat="1" applyFont="1" applyFill="1" applyBorder="1" applyAlignment="1">
      <alignment horizontal="center"/>
    </xf>
    <xf numFmtId="0" fontId="0" fillId="0" borderId="0" xfId="0" applyBorder="1"/>
    <xf numFmtId="4" fontId="14" fillId="7" borderId="0" xfId="0" applyNumberFormat="1" applyFont="1" applyFill="1" applyBorder="1"/>
    <xf numFmtId="4" fontId="45" fillId="7" borderId="0" xfId="0" applyNumberFormat="1" applyFont="1" applyFill="1" applyBorder="1"/>
    <xf numFmtId="0" fontId="45" fillId="7" borderId="0" xfId="0" applyFont="1" applyFill="1" applyBorder="1"/>
    <xf numFmtId="4" fontId="14" fillId="7" borderId="0" xfId="0" applyNumberFormat="1" applyFont="1" applyFill="1" applyAlignment="1">
      <alignment horizontal="center"/>
    </xf>
    <xf numFmtId="4" fontId="0" fillId="0" borderId="0" xfId="0" applyNumberFormat="1" applyAlignment="1">
      <alignment horizontal="center"/>
    </xf>
    <xf numFmtId="9" fontId="46" fillId="7" borderId="0" xfId="1" applyFont="1" applyFill="1" applyAlignment="1">
      <alignment horizontal="center"/>
    </xf>
    <xf numFmtId="9" fontId="47" fillId="7" borderId="0" xfId="1" applyFont="1" applyFill="1" applyAlignment="1">
      <alignment horizontal="center"/>
    </xf>
    <xf numFmtId="9" fontId="48" fillId="7" borderId="0" xfId="1" applyFont="1" applyFill="1" applyAlignment="1">
      <alignment horizontal="center"/>
    </xf>
    <xf numFmtId="0" fontId="45" fillId="22" borderId="1" xfId="0" applyFont="1" applyFill="1" applyBorder="1"/>
    <xf numFmtId="0" fontId="45" fillId="24" borderId="1" xfId="0" applyFont="1" applyFill="1" applyBorder="1"/>
    <xf numFmtId="0" fontId="49" fillId="4" borderId="1" xfId="0" applyFont="1" applyFill="1" applyBorder="1" applyAlignment="1">
      <alignment horizontal="center"/>
    </xf>
    <xf numFmtId="9" fontId="49" fillId="4" borderId="1" xfId="1" applyFont="1" applyFill="1" applyBorder="1" applyAlignment="1">
      <alignment horizontal="center"/>
    </xf>
    <xf numFmtId="4" fontId="49" fillId="4" borderId="1" xfId="0" applyNumberFormat="1" applyFont="1" applyFill="1" applyBorder="1" applyAlignment="1">
      <alignment horizontal="center"/>
    </xf>
    <xf numFmtId="0" fontId="49" fillId="4" borderId="1" xfId="0" applyFont="1" applyFill="1" applyBorder="1"/>
    <xf numFmtId="164" fontId="49" fillId="4" borderId="1" xfId="0" applyNumberFormat="1" applyFont="1" applyFill="1" applyBorder="1" applyAlignment="1">
      <alignment horizontal="center"/>
    </xf>
    <xf numFmtId="9" fontId="14" fillId="7" borderId="1" xfId="1" applyFont="1" applyFill="1" applyBorder="1" applyAlignment="1">
      <alignment horizontal="center"/>
    </xf>
    <xf numFmtId="9" fontId="14" fillId="7" borderId="1" xfId="0" applyNumberFormat="1" applyFont="1" applyFill="1" applyBorder="1" applyAlignment="1">
      <alignment horizontal="center"/>
    </xf>
    <xf numFmtId="165" fontId="0" fillId="0" borderId="0" xfId="0" applyNumberFormat="1"/>
    <xf numFmtId="166" fontId="0" fillId="0" borderId="0" xfId="0" applyNumberFormat="1"/>
    <xf numFmtId="0" fontId="0" fillId="5" borderId="0" xfId="0" applyFill="1" applyAlignment="1">
      <alignment horizontal="center"/>
    </xf>
    <xf numFmtId="0" fontId="0" fillId="0" borderId="0" xfId="0" applyNumberFormat="1" applyAlignment="1">
      <alignment horizontal="center"/>
    </xf>
    <xf numFmtId="4" fontId="7" fillId="0" borderId="1" xfId="0" applyNumberFormat="1" applyFont="1" applyBorder="1"/>
    <xf numFmtId="1" fontId="37" fillId="26" borderId="21" xfId="4" applyNumberFormat="1" applyFont="1" applyBorder="1" applyAlignment="1">
      <alignment horizontal="center"/>
    </xf>
    <xf numFmtId="0" fontId="37" fillId="26" borderId="23" xfId="4" applyFont="1" applyBorder="1" applyAlignment="1">
      <alignment horizontal="center"/>
    </xf>
    <xf numFmtId="1" fontId="37" fillId="26" borderId="23" xfId="4" applyNumberFormat="1" applyFont="1" applyBorder="1" applyAlignment="1">
      <alignment horizontal="center"/>
    </xf>
    <xf numFmtId="0" fontId="35" fillId="0" borderId="0" xfId="0" pivotButton="1" applyFont="1"/>
    <xf numFmtId="0" fontId="35" fillId="0" borderId="0" xfId="0" applyFont="1" applyAlignment="1">
      <alignment horizontal="left"/>
    </xf>
    <xf numFmtId="164" fontId="35" fillId="0" borderId="0" xfId="0" applyNumberFormat="1" applyFont="1"/>
    <xf numFmtId="166" fontId="35" fillId="28" borderId="1" xfId="0" applyNumberFormat="1" applyFont="1" applyFill="1" applyBorder="1"/>
    <xf numFmtId="0" fontId="35" fillId="28" borderId="1" xfId="0" applyFont="1" applyFill="1" applyBorder="1"/>
    <xf numFmtId="0" fontId="35" fillId="28" borderId="1" xfId="0" applyFont="1" applyFill="1" applyBorder="1" applyAlignment="1">
      <alignment horizontal="right"/>
    </xf>
    <xf numFmtId="166" fontId="36" fillId="0" borderId="0" xfId="0" applyNumberFormat="1" applyFont="1"/>
    <xf numFmtId="0" fontId="35" fillId="0" borderId="0" xfId="0" applyFont="1" applyAlignment="1"/>
    <xf numFmtId="0" fontId="0" fillId="13" borderId="0" xfId="0" applyFill="1"/>
    <xf numFmtId="0" fontId="0" fillId="23" borderId="0" xfId="0" applyFill="1"/>
    <xf numFmtId="0" fontId="0" fillId="30" borderId="0" xfId="0" applyFill="1"/>
    <xf numFmtId="0" fontId="0" fillId="30" borderId="0" xfId="0" applyFill="1" applyAlignment="1">
      <alignment horizontal="center"/>
    </xf>
    <xf numFmtId="0" fontId="6" fillId="2" borderId="13" xfId="0" applyFont="1" applyFill="1" applyBorder="1" applyAlignment="1">
      <alignment horizontal="center"/>
    </xf>
    <xf numFmtId="0" fontId="6" fillId="2" borderId="14" xfId="0" applyFont="1" applyFill="1" applyBorder="1" applyAlignment="1">
      <alignment horizontal="center"/>
    </xf>
    <xf numFmtId="4" fontId="6" fillId="2" borderId="15" xfId="0" applyNumberFormat="1" applyFont="1" applyFill="1" applyBorder="1" applyAlignment="1">
      <alignment horizontal="center"/>
    </xf>
    <xf numFmtId="0" fontId="51" fillId="2" borderId="18" xfId="0" applyFont="1" applyFill="1" applyBorder="1" applyAlignment="1">
      <alignment horizontal="left"/>
    </xf>
    <xf numFmtId="0" fontId="6" fillId="2" borderId="19" xfId="0" applyFont="1" applyFill="1" applyBorder="1"/>
    <xf numFmtId="4" fontId="7" fillId="2" borderId="20" xfId="0" applyNumberFormat="1" applyFont="1" applyFill="1" applyBorder="1" applyAlignment="1">
      <alignment horizontal="right"/>
    </xf>
    <xf numFmtId="0" fontId="7" fillId="0" borderId="0" xfId="0" applyFont="1" applyFill="1"/>
    <xf numFmtId="0" fontId="51" fillId="0" borderId="16" xfId="0" applyFont="1" applyFill="1" applyBorder="1"/>
    <xf numFmtId="0" fontId="6" fillId="0" borderId="0" xfId="0" applyFont="1" applyFill="1" applyBorder="1"/>
    <xf numFmtId="0" fontId="6" fillId="0" borderId="0" xfId="0" applyFont="1" applyFill="1" applyBorder="1" applyAlignment="1">
      <alignment horizontal="center"/>
    </xf>
    <xf numFmtId="4" fontId="6" fillId="0" borderId="17" xfId="0" applyNumberFormat="1" applyFont="1" applyFill="1" applyBorder="1" applyAlignment="1">
      <alignment horizontal="right"/>
    </xf>
    <xf numFmtId="0" fontId="52" fillId="4" borderId="21" xfId="0" applyFont="1" applyFill="1" applyBorder="1"/>
    <xf numFmtId="4" fontId="11" fillId="4" borderId="17" xfId="0" applyNumberFormat="1" applyFont="1" applyFill="1" applyBorder="1" applyAlignment="1">
      <alignment horizontal="right"/>
    </xf>
    <xf numFmtId="0" fontId="53" fillId="4" borderId="22" xfId="0" applyFont="1" applyFill="1" applyBorder="1"/>
    <xf numFmtId="1" fontId="54" fillId="4" borderId="21" xfId="0" applyNumberFormat="1" applyFont="1" applyFill="1" applyBorder="1" applyAlignment="1">
      <alignment horizontal="center"/>
    </xf>
    <xf numFmtId="4" fontId="11" fillId="4" borderId="17" xfId="0" applyNumberFormat="1" applyFont="1" applyFill="1" applyBorder="1" applyAlignment="1">
      <alignment horizontal="center"/>
    </xf>
    <xf numFmtId="0" fontId="53" fillId="4" borderId="23" xfId="0" applyFont="1" applyFill="1" applyBorder="1" applyAlignment="1">
      <alignment horizontal="center"/>
    </xf>
    <xf numFmtId="0" fontId="54" fillId="4" borderId="23" xfId="0" applyFont="1" applyFill="1" applyBorder="1" applyAlignment="1">
      <alignment horizontal="center"/>
    </xf>
    <xf numFmtId="0" fontId="6" fillId="0" borderId="0" xfId="0" applyFont="1" applyFill="1" applyAlignment="1">
      <alignment horizontal="right"/>
    </xf>
    <xf numFmtId="4" fontId="7" fillId="5" borderId="3" xfId="0" applyNumberFormat="1" applyFont="1" applyFill="1" applyBorder="1" applyAlignment="1">
      <alignment horizontal="right"/>
    </xf>
    <xf numFmtId="4" fontId="6" fillId="5" borderId="4" xfId="0" applyNumberFormat="1" applyFont="1" applyFill="1" applyBorder="1" applyAlignment="1">
      <alignment horizontal="right"/>
    </xf>
    <xf numFmtId="0" fontId="6" fillId="0" borderId="2" xfId="0" applyFont="1" applyFill="1" applyBorder="1"/>
    <xf numFmtId="4" fontId="7" fillId="0" borderId="3" xfId="0" applyNumberFormat="1" applyFont="1" applyFill="1" applyBorder="1" applyAlignment="1">
      <alignment horizontal="right"/>
    </xf>
    <xf numFmtId="4" fontId="6" fillId="0" borderId="4" xfId="0" applyNumberFormat="1" applyFont="1" applyFill="1" applyBorder="1" applyAlignment="1">
      <alignment horizontal="right"/>
    </xf>
    <xf numFmtId="0" fontId="6" fillId="0" borderId="26" xfId="0" applyFont="1" applyFill="1" applyBorder="1"/>
    <xf numFmtId="4" fontId="7" fillId="0" borderId="27" xfId="0" applyNumberFormat="1" applyFont="1" applyFill="1" applyBorder="1" applyAlignment="1">
      <alignment horizontal="right"/>
    </xf>
    <xf numFmtId="4" fontId="6" fillId="0" borderId="28" xfId="0" applyNumberFormat="1" applyFont="1" applyFill="1" applyBorder="1" applyAlignment="1">
      <alignment horizontal="right"/>
    </xf>
    <xf numFmtId="0" fontId="51" fillId="6" borderId="1" xfId="0" applyFont="1" applyFill="1" applyBorder="1"/>
    <xf numFmtId="4" fontId="6" fillId="6" borderId="1" xfId="0" applyNumberFormat="1" applyFont="1" applyFill="1" applyBorder="1" applyAlignment="1">
      <alignment horizontal="right"/>
    </xf>
    <xf numFmtId="0" fontId="6" fillId="0" borderId="0" xfId="0" applyFont="1" applyFill="1"/>
    <xf numFmtId="4" fontId="6" fillId="5" borderId="3" xfId="0" applyNumberFormat="1" applyFont="1" applyFill="1" applyBorder="1" applyAlignment="1">
      <alignment horizontal="right"/>
    </xf>
    <xf numFmtId="0" fontId="9" fillId="0" borderId="2" xfId="0" applyFont="1" applyFill="1" applyBorder="1"/>
    <xf numFmtId="4" fontId="9" fillId="0" borderId="3" xfId="0" applyNumberFormat="1" applyFont="1" applyFill="1" applyBorder="1" applyAlignment="1">
      <alignment horizontal="right"/>
    </xf>
    <xf numFmtId="4" fontId="10" fillId="0" borderId="4" xfId="0" applyNumberFormat="1" applyFont="1" applyFill="1" applyBorder="1" applyAlignment="1">
      <alignment horizontal="right"/>
    </xf>
    <xf numFmtId="0" fontId="9" fillId="0" borderId="0" xfId="0" applyFont="1" applyFill="1"/>
    <xf numFmtId="0" fontId="10" fillId="0" borderId="2" xfId="0" applyFont="1" applyFill="1" applyBorder="1"/>
    <xf numFmtId="4" fontId="10" fillId="0" borderId="3" xfId="0" applyNumberFormat="1" applyFont="1" applyFill="1" applyBorder="1" applyAlignment="1">
      <alignment horizontal="right"/>
    </xf>
    <xf numFmtId="0" fontId="10" fillId="0" borderId="0" xfId="0" applyFont="1" applyFill="1"/>
    <xf numFmtId="4" fontId="6" fillId="0" borderId="0" xfId="0" applyNumberFormat="1" applyFont="1" applyFill="1" applyBorder="1" applyAlignment="1">
      <alignment horizontal="right"/>
    </xf>
    <xf numFmtId="0" fontId="6" fillId="5" borderId="1" xfId="0" applyFont="1" applyFill="1" applyBorder="1" applyAlignment="1">
      <alignment horizontal="center"/>
    </xf>
    <xf numFmtId="4" fontId="6" fillId="5" borderId="1" xfId="0" applyNumberFormat="1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4" fontId="6" fillId="0" borderId="3" xfId="0" applyNumberFormat="1" applyFont="1" applyFill="1" applyBorder="1" applyAlignment="1">
      <alignment horizontal="right"/>
    </xf>
    <xf numFmtId="0" fontId="7" fillId="0" borderId="2" xfId="0" applyFont="1" applyFill="1" applyBorder="1"/>
    <xf numFmtId="4" fontId="6" fillId="0" borderId="27" xfId="0" applyNumberFormat="1" applyFont="1" applyFill="1" applyBorder="1" applyAlignment="1">
      <alignment horizontal="right"/>
    </xf>
    <xf numFmtId="9" fontId="6" fillId="5" borderId="1" xfId="1" applyFont="1" applyFill="1" applyBorder="1" applyAlignment="1">
      <alignment horizontal="left"/>
    </xf>
    <xf numFmtId="4" fontId="6" fillId="0" borderId="1" xfId="0" applyNumberFormat="1" applyFont="1" applyFill="1" applyBorder="1" applyAlignment="1">
      <alignment horizontal="right"/>
    </xf>
    <xf numFmtId="0" fontId="6" fillId="5" borderId="8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4" fontId="6" fillId="0" borderId="10" xfId="0" applyNumberFormat="1" applyFont="1" applyFill="1" applyBorder="1" applyAlignment="1">
      <alignment horizontal="right"/>
    </xf>
    <xf numFmtId="0" fontId="7" fillId="0" borderId="26" xfId="0" applyFont="1" applyFill="1" applyBorder="1"/>
    <xf numFmtId="0" fontId="53" fillId="4" borderId="1" xfId="0" applyFont="1" applyFill="1" applyBorder="1"/>
    <xf numFmtId="4" fontId="53" fillId="4" borderId="1" xfId="0" applyNumberFormat="1" applyFont="1" applyFill="1" applyBorder="1" applyAlignment="1">
      <alignment horizontal="center"/>
    </xf>
    <xf numFmtId="4" fontId="53" fillId="4" borderId="1" xfId="0" applyNumberFormat="1" applyFont="1" applyFill="1" applyBorder="1"/>
    <xf numFmtId="0" fontId="53" fillId="3" borderId="1" xfId="0" applyFont="1" applyFill="1" applyBorder="1"/>
    <xf numFmtId="4" fontId="53" fillId="3" borderId="1" xfId="0" applyNumberFormat="1" applyFont="1" applyFill="1" applyBorder="1" applyAlignment="1">
      <alignment horizontal="center"/>
    </xf>
    <xf numFmtId="0" fontId="7" fillId="0" borderId="16" xfId="0" applyFont="1" applyFill="1" applyBorder="1"/>
    <xf numFmtId="0" fontId="7" fillId="0" borderId="0" xfId="0" applyFont="1" applyFill="1" applyBorder="1" applyAlignment="1">
      <alignment horizontal="center"/>
    </xf>
    <xf numFmtId="0" fontId="53" fillId="3" borderId="1" xfId="0" applyFont="1" applyFill="1" applyBorder="1" applyAlignment="1">
      <alignment horizontal="center"/>
    </xf>
    <xf numFmtId="0" fontId="6" fillId="0" borderId="16" xfId="0" applyFont="1" applyFill="1" applyBorder="1"/>
    <xf numFmtId="2" fontId="6" fillId="0" borderId="0" xfId="0" applyNumberFormat="1" applyFont="1" applyFill="1" applyBorder="1" applyAlignment="1">
      <alignment horizontal="center"/>
    </xf>
    <xf numFmtId="4" fontId="6" fillId="2" borderId="1" xfId="0" applyNumberFormat="1" applyFont="1" applyFill="1" applyBorder="1"/>
    <xf numFmtId="4" fontId="6" fillId="2" borderId="1" xfId="0" applyNumberFormat="1" applyFont="1" applyFill="1" applyBorder="1" applyAlignment="1">
      <alignment horizontal="center"/>
    </xf>
    <xf numFmtId="4" fontId="6" fillId="2" borderId="1" xfId="0" applyNumberFormat="1" applyFont="1" applyFill="1" applyBorder="1" applyAlignment="1">
      <alignment horizontal="right"/>
    </xf>
    <xf numFmtId="4" fontId="6" fillId="0" borderId="0" xfId="0" applyNumberFormat="1" applyFont="1" applyFill="1"/>
    <xf numFmtId="4" fontId="7" fillId="0" borderId="0" xfId="0" applyNumberFormat="1" applyFont="1" applyFill="1" applyBorder="1" applyAlignment="1">
      <alignment horizontal="right"/>
    </xf>
    <xf numFmtId="0" fontId="6" fillId="0" borderId="1" xfId="0" applyFont="1" applyFill="1" applyBorder="1"/>
    <xf numFmtId="0" fontId="7" fillId="0" borderId="5" xfId="0" applyFont="1" applyFill="1" applyBorder="1"/>
    <xf numFmtId="4" fontId="6" fillId="0" borderId="7" xfId="0" applyNumberFormat="1" applyFont="1" applyFill="1" applyBorder="1" applyAlignment="1">
      <alignment horizontal="right"/>
    </xf>
    <xf numFmtId="4" fontId="6" fillId="0" borderId="0" xfId="0" applyNumberFormat="1" applyFont="1" applyFill="1" applyAlignment="1">
      <alignment horizontal="right"/>
    </xf>
    <xf numFmtId="0" fontId="0" fillId="0" borderId="0" xfId="0" applyFill="1" applyAlignment="1"/>
    <xf numFmtId="0" fontId="0" fillId="22" borderId="0" xfId="0" applyFill="1" applyAlignment="1">
      <alignment horizontal="center"/>
    </xf>
    <xf numFmtId="0" fontId="0" fillId="22" borderId="0" xfId="0" applyFill="1"/>
    <xf numFmtId="0" fontId="0" fillId="23" borderId="0" xfId="0" applyFill="1" applyAlignment="1">
      <alignment horizontal="center"/>
    </xf>
    <xf numFmtId="14" fontId="0" fillId="2" borderId="0" xfId="0" applyNumberFormat="1" applyFill="1" applyAlignment="1">
      <alignment horizontal="center"/>
    </xf>
    <xf numFmtId="0" fontId="0" fillId="31" borderId="0" xfId="0" applyFill="1" applyAlignment="1">
      <alignment horizontal="center"/>
    </xf>
    <xf numFmtId="0" fontId="0" fillId="31" borderId="0" xfId="0" applyFill="1"/>
    <xf numFmtId="4" fontId="6" fillId="0" borderId="1" xfId="0" applyNumberFormat="1" applyFont="1" applyFill="1" applyBorder="1" applyAlignment="1">
      <alignment horizontal="center"/>
    </xf>
    <xf numFmtId="9" fontId="7" fillId="0" borderId="3" xfId="1" applyFont="1" applyFill="1" applyBorder="1" applyAlignment="1">
      <alignment horizontal="center"/>
    </xf>
    <xf numFmtId="9" fontId="7" fillId="0" borderId="6" xfId="1" applyFont="1" applyFill="1" applyBorder="1" applyAlignment="1">
      <alignment horizontal="center"/>
    </xf>
    <xf numFmtId="9" fontId="6" fillId="0" borderId="1" xfId="0" applyNumberFormat="1" applyFont="1" applyFill="1" applyBorder="1" applyAlignment="1">
      <alignment horizontal="center"/>
    </xf>
    <xf numFmtId="2" fontId="40" fillId="0" borderId="0" xfId="0" applyNumberFormat="1" applyFont="1" applyFill="1" applyAlignment="1">
      <alignment horizontal="center"/>
    </xf>
    <xf numFmtId="0" fontId="25" fillId="12" borderId="34" xfId="0" applyFont="1" applyFill="1" applyBorder="1" applyAlignment="1">
      <alignment horizontal="left"/>
    </xf>
    <xf numFmtId="0" fontId="25" fillId="12" borderId="0" xfId="0" applyFont="1" applyFill="1" applyBorder="1"/>
    <xf numFmtId="0" fontId="9" fillId="9" borderId="2" xfId="0" applyFont="1" applyFill="1" applyBorder="1"/>
    <xf numFmtId="4" fontId="9" fillId="9" borderId="3" xfId="0" applyNumberFormat="1" applyFont="1" applyFill="1" applyBorder="1" applyAlignment="1">
      <alignment horizontal="right"/>
    </xf>
    <xf numFmtId="4" fontId="10" fillId="9" borderId="4" xfId="0" applyNumberFormat="1" applyFont="1" applyFill="1" applyBorder="1" applyAlignment="1">
      <alignment horizontal="right"/>
    </xf>
    <xf numFmtId="49" fontId="6" fillId="0" borderId="0" xfId="0" applyNumberFormat="1" applyFont="1" applyAlignment="1">
      <alignment horizontal="center"/>
    </xf>
    <xf numFmtId="0" fontId="53" fillId="4" borderId="1" xfId="0" applyFont="1" applyFill="1" applyBorder="1" applyAlignment="1">
      <alignment horizontal="center"/>
    </xf>
    <xf numFmtId="49" fontId="53" fillId="4" borderId="11" xfId="0" applyNumberFormat="1" applyFont="1" applyFill="1" applyBorder="1" applyAlignment="1">
      <alignment horizontal="center"/>
    </xf>
    <xf numFmtId="0" fontId="6" fillId="0" borderId="0" xfId="0" applyFont="1"/>
    <xf numFmtId="1" fontId="53" fillId="4" borderId="1" xfId="0" applyNumberFormat="1" applyFont="1" applyFill="1" applyBorder="1" applyAlignment="1">
      <alignment horizontal="center"/>
    </xf>
    <xf numFmtId="0" fontId="40" fillId="0" borderId="1" xfId="0" applyFont="1" applyFill="1" applyBorder="1" applyAlignment="1">
      <alignment horizontal="left"/>
    </xf>
    <xf numFmtId="49" fontId="40" fillId="0" borderId="1" xfId="0" applyNumberFormat="1" applyFont="1" applyFill="1" applyBorder="1" applyAlignment="1">
      <alignment horizontal="center"/>
    </xf>
    <xf numFmtId="0" fontId="53" fillId="0" borderId="1" xfId="0" applyFont="1" applyFill="1" applyBorder="1" applyAlignment="1">
      <alignment horizontal="center"/>
    </xf>
    <xf numFmtId="4" fontId="53" fillId="0" borderId="1" xfId="0" applyNumberFormat="1" applyFont="1" applyFill="1" applyBorder="1" applyAlignment="1">
      <alignment horizontal="center"/>
    </xf>
    <xf numFmtId="49" fontId="7" fillId="0" borderId="0" xfId="0" applyNumberFormat="1" applyFont="1" applyAlignment="1">
      <alignment horizontal="center"/>
    </xf>
    <xf numFmtId="0" fontId="7" fillId="0" borderId="1" xfId="0" applyFont="1" applyBorder="1"/>
    <xf numFmtId="49" fontId="7" fillId="0" borderId="1" xfId="0" applyNumberFormat="1" applyFont="1" applyBorder="1" applyAlignment="1">
      <alignment horizontal="center"/>
    </xf>
    <xf numFmtId="0" fontId="7" fillId="0" borderId="0" xfId="0" applyFont="1"/>
    <xf numFmtId="0" fontId="7" fillId="0" borderId="1" xfId="0" applyFont="1" applyFill="1" applyBorder="1"/>
    <xf numFmtId="49" fontId="7" fillId="0" borderId="1" xfId="0" applyNumberFormat="1" applyFont="1" applyFill="1" applyBorder="1" applyAlignment="1">
      <alignment horizontal="center"/>
    </xf>
    <xf numFmtId="4" fontId="7" fillId="0" borderId="1" xfId="0" applyNumberFormat="1" applyFont="1" applyFill="1" applyBorder="1"/>
    <xf numFmtId="0" fontId="6" fillId="8" borderId="1" xfId="0" applyFont="1" applyFill="1" applyBorder="1"/>
    <xf numFmtId="49" fontId="6" fillId="8" borderId="1" xfId="0" applyNumberFormat="1" applyFont="1" applyFill="1" applyBorder="1" applyAlignment="1">
      <alignment horizontal="center"/>
    </xf>
    <xf numFmtId="4" fontId="6" fillId="8" borderId="1" xfId="0" applyNumberFormat="1" applyFont="1" applyFill="1" applyBorder="1"/>
    <xf numFmtId="49" fontId="40" fillId="0" borderId="0" xfId="0" applyNumberFormat="1" applyFont="1" applyAlignment="1">
      <alignment horizontal="center"/>
    </xf>
    <xf numFmtId="0" fontId="40" fillId="0" borderId="0" xfId="0" applyFont="1"/>
    <xf numFmtId="0" fontId="6" fillId="0" borderId="1" xfId="0" applyFont="1" applyBorder="1"/>
    <xf numFmtId="49" fontId="6" fillId="0" borderId="1" xfId="0" applyNumberFormat="1" applyFont="1" applyBorder="1" applyAlignment="1">
      <alignment horizontal="center"/>
    </xf>
    <xf numFmtId="4" fontId="6" fillId="0" borderId="1" xfId="0" applyNumberFormat="1" applyFont="1" applyBorder="1"/>
    <xf numFmtId="49" fontId="6" fillId="0" borderId="0" xfId="0" applyNumberFormat="1" applyFont="1" applyAlignment="1"/>
    <xf numFmtId="49" fontId="39" fillId="0" borderId="0" xfId="0" applyNumberFormat="1" applyFont="1" applyFill="1" applyAlignment="1">
      <alignment horizontal="center"/>
    </xf>
    <xf numFmtId="0" fontId="39" fillId="0" borderId="1" xfId="0" applyFont="1" applyFill="1" applyBorder="1" applyAlignment="1">
      <alignment horizontal="center"/>
    </xf>
    <xf numFmtId="4" fontId="39" fillId="0" borderId="1" xfId="0" applyNumberFormat="1" applyFont="1" applyFill="1" applyBorder="1" applyAlignment="1">
      <alignment horizontal="center"/>
    </xf>
    <xf numFmtId="0" fontId="39" fillId="0" borderId="0" xfId="0" applyFont="1" applyFill="1"/>
    <xf numFmtId="0" fontId="39" fillId="8" borderId="1" xfId="0" applyFont="1" applyFill="1" applyBorder="1" applyAlignment="1">
      <alignment horizontal="left"/>
    </xf>
    <xf numFmtId="49" fontId="39" fillId="8" borderId="1" xfId="0" applyNumberFormat="1" applyFont="1" applyFill="1" applyBorder="1" applyAlignment="1">
      <alignment horizontal="center"/>
    </xf>
    <xf numFmtId="0" fontId="39" fillId="8" borderId="1" xfId="0" applyFont="1" applyFill="1" applyBorder="1" applyAlignment="1">
      <alignment horizontal="center"/>
    </xf>
    <xf numFmtId="4" fontId="39" fillId="8" borderId="1" xfId="0" applyNumberFormat="1" applyFont="1" applyFill="1" applyBorder="1" applyAlignment="1">
      <alignment horizontal="center"/>
    </xf>
    <xf numFmtId="49" fontId="53" fillId="4" borderId="1" xfId="0" applyNumberFormat="1" applyFont="1" applyFill="1" applyBorder="1" applyAlignment="1">
      <alignment horizontal="center"/>
    </xf>
    <xf numFmtId="9" fontId="53" fillId="4" borderId="1" xfId="1" applyFont="1" applyFill="1" applyBorder="1" applyAlignment="1">
      <alignment horizontal="center"/>
    </xf>
    <xf numFmtId="49" fontId="6" fillId="0" borderId="0" xfId="0" applyNumberFormat="1" applyFont="1" applyFill="1" applyAlignment="1">
      <alignment horizontal="center"/>
    </xf>
    <xf numFmtId="49" fontId="6" fillId="0" borderId="1" xfId="0" applyNumberFormat="1" applyFont="1" applyFill="1" applyBorder="1" applyAlignment="1">
      <alignment horizontal="center"/>
    </xf>
    <xf numFmtId="4" fontId="6" fillId="0" borderId="1" xfId="0" applyNumberFormat="1" applyFont="1" applyFill="1" applyBorder="1"/>
    <xf numFmtId="0" fontId="39" fillId="7" borderId="1" xfId="0" applyFont="1" applyFill="1" applyBorder="1" applyAlignment="1">
      <alignment horizontal="left"/>
    </xf>
    <xf numFmtId="49" fontId="39" fillId="7" borderId="1" xfId="0" applyNumberFormat="1" applyFont="1" applyFill="1" applyBorder="1" applyAlignment="1">
      <alignment horizontal="center"/>
    </xf>
    <xf numFmtId="4" fontId="53" fillId="7" borderId="1" xfId="0" applyNumberFormat="1" applyFont="1" applyFill="1" applyBorder="1"/>
    <xf numFmtId="0" fontId="39" fillId="0" borderId="1" xfId="0" applyFont="1" applyBorder="1" applyAlignment="1">
      <alignment horizontal="left"/>
    </xf>
    <xf numFmtId="49" fontId="39" fillId="0" borderId="1" xfId="0" applyNumberFormat="1" applyFont="1" applyBorder="1" applyAlignment="1">
      <alignment horizontal="center"/>
    </xf>
    <xf numFmtId="49" fontId="39" fillId="2" borderId="1" xfId="0" applyNumberFormat="1" applyFont="1" applyFill="1" applyBorder="1" applyAlignment="1">
      <alignment horizontal="center"/>
    </xf>
    <xf numFmtId="0" fontId="39" fillId="0" borderId="0" xfId="0" applyFont="1"/>
    <xf numFmtId="49" fontId="53" fillId="0" borderId="0" xfId="0" applyNumberFormat="1" applyFont="1" applyAlignment="1">
      <alignment horizontal="center"/>
    </xf>
    <xf numFmtId="4" fontId="39" fillId="2" borderId="1" xfId="0" applyNumberFormat="1" applyFont="1" applyFill="1" applyBorder="1" applyAlignment="1">
      <alignment horizontal="center"/>
    </xf>
    <xf numFmtId="4" fontId="39" fillId="0" borderId="0" xfId="0" applyNumberFormat="1" applyFont="1" applyAlignment="1">
      <alignment horizontal="center"/>
    </xf>
    <xf numFmtId="0" fontId="53" fillId="0" borderId="0" xfId="0" applyFont="1" applyAlignment="1">
      <alignment horizontal="center"/>
    </xf>
    <xf numFmtId="4" fontId="13" fillId="4" borderId="1" xfId="0" applyNumberFormat="1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40" fillId="0" borderId="1" xfId="0" applyFont="1" applyFill="1" applyBorder="1"/>
    <xf numFmtId="4" fontId="40" fillId="0" borderId="1" xfId="0" applyNumberFormat="1" applyFont="1" applyFill="1" applyBorder="1"/>
    <xf numFmtId="4" fontId="39" fillId="0" borderId="1" xfId="0" applyNumberFormat="1" applyFont="1" applyFill="1" applyBorder="1"/>
    <xf numFmtId="0" fontId="39" fillId="8" borderId="1" xfId="0" applyFont="1" applyFill="1" applyBorder="1"/>
    <xf numFmtId="4" fontId="39" fillId="8" borderId="1" xfId="0" applyNumberFormat="1" applyFont="1" applyFill="1" applyBorder="1"/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6" fillId="8" borderId="1" xfId="0" applyFont="1" applyFill="1" applyBorder="1" applyAlignment="1">
      <alignment horizontal="left"/>
    </xf>
    <xf numFmtId="4" fontId="7" fillId="0" borderId="0" xfId="0" applyNumberFormat="1" applyFont="1"/>
    <xf numFmtId="4" fontId="7" fillId="0" borderId="0" xfId="0" applyNumberFormat="1" applyFont="1" applyAlignment="1">
      <alignment horizontal="center"/>
    </xf>
    <xf numFmtId="9" fontId="27" fillId="7" borderId="0" xfId="1" applyFont="1" applyFill="1" applyAlignment="1">
      <alignment horizontal="center"/>
    </xf>
    <xf numFmtId="164" fontId="44" fillId="8" borderId="0" xfId="2" applyFont="1" applyFill="1" applyBorder="1" applyAlignment="1"/>
    <xf numFmtId="164" fontId="44" fillId="8" borderId="35" xfId="2" applyFont="1" applyFill="1" applyBorder="1" applyAlignment="1"/>
    <xf numFmtId="164" fontId="44" fillId="8" borderId="30" xfId="2" applyFont="1" applyFill="1" applyBorder="1" applyAlignment="1"/>
    <xf numFmtId="164" fontId="44" fillId="8" borderId="41" xfId="2" applyFont="1" applyFill="1" applyBorder="1" applyAlignment="1"/>
    <xf numFmtId="49" fontId="0" fillId="0" borderId="0" xfId="0" applyNumberFormat="1" applyAlignment="1">
      <alignment horizontal="center"/>
    </xf>
    <xf numFmtId="0" fontId="1" fillId="0" borderId="0" xfId="0" applyFont="1" applyAlignment="1">
      <alignment horizontal="right"/>
    </xf>
    <xf numFmtId="166" fontId="1" fillId="0" borderId="0" xfId="0" applyNumberFormat="1" applyFont="1"/>
    <xf numFmtId="166" fontId="35" fillId="0" borderId="0" xfId="0" applyNumberFormat="1" applyFont="1"/>
    <xf numFmtId="0" fontId="53" fillId="4" borderId="1" xfId="0" applyFont="1" applyFill="1" applyBorder="1" applyAlignment="1"/>
    <xf numFmtId="14" fontId="12" fillId="4" borderId="2" xfId="0" applyNumberFormat="1" applyFont="1" applyFill="1" applyBorder="1" applyAlignment="1">
      <alignment horizontal="center"/>
    </xf>
    <xf numFmtId="166" fontId="0" fillId="34" borderId="0" xfId="0" applyNumberFormat="1" applyFill="1"/>
    <xf numFmtId="4" fontId="10" fillId="9" borderId="3" xfId="0" applyNumberFormat="1" applyFont="1" applyFill="1" applyBorder="1" applyAlignment="1">
      <alignment horizontal="right"/>
    </xf>
    <xf numFmtId="166" fontId="0" fillId="0" borderId="0" xfId="0" applyNumberFormat="1" applyFont="1"/>
    <xf numFmtId="0" fontId="6" fillId="9" borderId="2" xfId="0" applyFont="1" applyFill="1" applyBorder="1"/>
    <xf numFmtId="0" fontId="6" fillId="9" borderId="26" xfId="0" applyFont="1" applyFill="1" applyBorder="1"/>
    <xf numFmtId="0" fontId="10" fillId="9" borderId="2" xfId="0" applyFont="1" applyFill="1" applyBorder="1"/>
    <xf numFmtId="0" fontId="45" fillId="35" borderId="1" xfId="0" applyFont="1" applyFill="1" applyBorder="1"/>
    <xf numFmtId="0" fontId="50" fillId="32" borderId="0" xfId="0" applyFont="1" applyFill="1" applyAlignment="1">
      <alignment horizontal="center"/>
    </xf>
    <xf numFmtId="0" fontId="40" fillId="0" borderId="27" xfId="0" applyNumberFormat="1" applyFont="1" applyFill="1" applyBorder="1" applyAlignment="1">
      <alignment horizontal="center"/>
    </xf>
    <xf numFmtId="0" fontId="53" fillId="32" borderId="11" xfId="0" applyNumberFormat="1" applyFont="1" applyFill="1" applyBorder="1" applyAlignment="1">
      <alignment horizontal="center"/>
    </xf>
    <xf numFmtId="0" fontId="13" fillId="32" borderId="12" xfId="0" applyNumberFormat="1" applyFont="1" applyFill="1" applyBorder="1" applyAlignment="1">
      <alignment horizontal="center"/>
    </xf>
    <xf numFmtId="0" fontId="55" fillId="5" borderId="2" xfId="0" applyFont="1" applyFill="1" applyBorder="1"/>
    <xf numFmtId="0" fontId="53" fillId="0" borderId="2" xfId="0" applyFont="1" applyFill="1" applyBorder="1"/>
    <xf numFmtId="0" fontId="53" fillId="4" borderId="11" xfId="0" applyFont="1" applyFill="1" applyBorder="1" applyAlignment="1">
      <alignment horizontal="center"/>
    </xf>
    <xf numFmtId="0" fontId="6" fillId="13" borderId="26" xfId="0" applyFont="1" applyFill="1" applyBorder="1"/>
    <xf numFmtId="4" fontId="7" fillId="13" borderId="27" xfId="0" applyNumberFormat="1" applyFont="1" applyFill="1" applyBorder="1" applyAlignment="1">
      <alignment horizontal="right"/>
    </xf>
    <xf numFmtId="4" fontId="6" fillId="13" borderId="28" xfId="0" applyNumberFormat="1" applyFont="1" applyFill="1" applyBorder="1" applyAlignment="1">
      <alignment horizontal="right"/>
    </xf>
    <xf numFmtId="4" fontId="6" fillId="2" borderId="4" xfId="0" applyNumberFormat="1" applyFont="1" applyFill="1" applyBorder="1" applyAlignment="1">
      <alignment horizontal="right"/>
    </xf>
    <xf numFmtId="0" fontId="53" fillId="24" borderId="1" xfId="0" applyFont="1" applyFill="1" applyBorder="1" applyAlignment="1">
      <alignment horizontal="center"/>
    </xf>
    <xf numFmtId="49" fontId="53" fillId="24" borderId="11" xfId="0" applyNumberFormat="1" applyFont="1" applyFill="1" applyBorder="1" applyAlignment="1">
      <alignment horizontal="center"/>
    </xf>
    <xf numFmtId="49" fontId="39" fillId="9" borderId="11" xfId="0" applyNumberFormat="1" applyFont="1" applyFill="1" applyBorder="1" applyAlignment="1">
      <alignment horizontal="center"/>
    </xf>
    <xf numFmtId="4" fontId="39" fillId="9" borderId="11" xfId="0" applyNumberFormat="1" applyFont="1" applyFill="1" applyBorder="1" applyAlignment="1">
      <alignment horizontal="center"/>
    </xf>
    <xf numFmtId="4" fontId="39" fillId="9" borderId="25" xfId="0" applyNumberFormat="1" applyFont="1" applyFill="1" applyBorder="1" applyAlignment="1">
      <alignment horizontal="center"/>
    </xf>
    <xf numFmtId="0" fontId="56" fillId="9" borderId="1" xfId="0" applyFont="1" applyFill="1" applyBorder="1" applyAlignment="1">
      <alignment horizontal="center"/>
    </xf>
    <xf numFmtId="49" fontId="39" fillId="9" borderId="1" xfId="0" applyNumberFormat="1" applyFont="1" applyFill="1" applyBorder="1" applyAlignment="1">
      <alignment horizontal="center"/>
    </xf>
    <xf numFmtId="4" fontId="39" fillId="9" borderId="1" xfId="0" applyNumberFormat="1" applyFont="1" applyFill="1" applyBorder="1"/>
    <xf numFmtId="0" fontId="58" fillId="2" borderId="1" xfId="0" applyFont="1" applyFill="1" applyBorder="1" applyAlignment="1">
      <alignment horizontal="center"/>
    </xf>
    <xf numFmtId="0" fontId="57" fillId="9" borderId="1" xfId="0" applyFont="1" applyFill="1" applyBorder="1"/>
    <xf numFmtId="49" fontId="6" fillId="9" borderId="1" xfId="0" applyNumberFormat="1" applyFont="1" applyFill="1" applyBorder="1" applyAlignment="1">
      <alignment horizontal="center"/>
    </xf>
    <xf numFmtId="4" fontId="6" fillId="9" borderId="1" xfId="0" applyNumberFormat="1" applyFont="1" applyFill="1" applyBorder="1"/>
    <xf numFmtId="0" fontId="53" fillId="4" borderId="11" xfId="0" applyFont="1" applyFill="1" applyBorder="1" applyAlignment="1">
      <alignment horizontal="center"/>
    </xf>
    <xf numFmtId="0" fontId="53" fillId="4" borderId="24" xfId="0" applyFont="1" applyFill="1" applyBorder="1" applyAlignment="1">
      <alignment horizontal="center"/>
    </xf>
    <xf numFmtId="0" fontId="53" fillId="4" borderId="25" xfId="0" applyFont="1" applyFill="1" applyBorder="1" applyAlignment="1">
      <alignment horizontal="center"/>
    </xf>
    <xf numFmtId="49" fontId="53" fillId="4" borderId="14" xfId="0" applyNumberFormat="1" applyFont="1" applyFill="1" applyBorder="1" applyAlignment="1">
      <alignment horizontal="center"/>
    </xf>
    <xf numFmtId="0" fontId="53" fillId="33" borderId="11" xfId="0" applyFont="1" applyFill="1" applyBorder="1" applyAlignment="1">
      <alignment horizontal="center"/>
    </xf>
    <xf numFmtId="0" fontId="53" fillId="33" borderId="25" xfId="0" applyFont="1" applyFill="1" applyBorder="1" applyAlignment="1">
      <alignment horizontal="center"/>
    </xf>
    <xf numFmtId="4" fontId="53" fillId="24" borderId="11" xfId="0" applyNumberFormat="1" applyFont="1" applyFill="1" applyBorder="1" applyAlignment="1">
      <alignment horizontal="center"/>
    </xf>
    <xf numFmtId="4" fontId="53" fillId="24" borderId="25" xfId="0" applyNumberFormat="1" applyFont="1" applyFill="1" applyBorder="1" applyAlignment="1">
      <alignment horizontal="center"/>
    </xf>
    <xf numFmtId="0" fontId="6" fillId="2" borderId="21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4" fontId="6" fillId="2" borderId="21" xfId="0" applyNumberFormat="1" applyFont="1" applyFill="1" applyBorder="1" applyAlignment="1">
      <alignment horizontal="center"/>
    </xf>
    <xf numFmtId="4" fontId="6" fillId="2" borderId="23" xfId="0" applyNumberFormat="1" applyFont="1" applyFill="1" applyBorder="1" applyAlignment="1">
      <alignment horizontal="center"/>
    </xf>
    <xf numFmtId="49" fontId="6" fillId="2" borderId="21" xfId="0" applyNumberFormat="1" applyFont="1" applyFill="1" applyBorder="1" applyAlignment="1">
      <alignment horizontal="center"/>
    </xf>
    <xf numFmtId="49" fontId="6" fillId="2" borderId="23" xfId="0" applyNumberFormat="1" applyFont="1" applyFill="1" applyBorder="1" applyAlignment="1">
      <alignment horizontal="center"/>
    </xf>
    <xf numFmtId="49" fontId="53" fillId="4" borderId="21" xfId="0" applyNumberFormat="1" applyFont="1" applyFill="1" applyBorder="1" applyAlignment="1">
      <alignment horizontal="center"/>
    </xf>
    <xf numFmtId="49" fontId="53" fillId="4" borderId="22" xfId="0" applyNumberFormat="1" applyFont="1" applyFill="1" applyBorder="1" applyAlignment="1">
      <alignment horizontal="center"/>
    </xf>
    <xf numFmtId="49" fontId="53" fillId="4" borderId="23" xfId="0" applyNumberFormat="1" applyFont="1" applyFill="1" applyBorder="1" applyAlignment="1">
      <alignment horizontal="center"/>
    </xf>
    <xf numFmtId="0" fontId="21" fillId="16" borderId="31" xfId="0" applyFont="1" applyFill="1" applyBorder="1" applyAlignment="1">
      <alignment horizontal="center"/>
    </xf>
    <xf numFmtId="0" fontId="21" fillId="16" borderId="32" xfId="0" applyFont="1" applyFill="1" applyBorder="1" applyAlignment="1">
      <alignment horizontal="center"/>
    </xf>
    <xf numFmtId="0" fontId="21" fillId="16" borderId="33" xfId="0" applyFont="1" applyFill="1" applyBorder="1" applyAlignment="1">
      <alignment horizontal="center"/>
    </xf>
    <xf numFmtId="0" fontId="16" fillId="14" borderId="0" xfId="0" applyFont="1" applyFill="1" applyAlignment="1">
      <alignment horizontal="center"/>
    </xf>
    <xf numFmtId="0" fontId="14" fillId="4" borderId="0" xfId="0" applyFont="1" applyFill="1" applyAlignment="1">
      <alignment horizontal="center"/>
    </xf>
    <xf numFmtId="0" fontId="18" fillId="14" borderId="0" xfId="0" applyFont="1" applyFill="1" applyBorder="1" applyAlignment="1">
      <alignment horizontal="center" vertical="center"/>
    </xf>
    <xf numFmtId="0" fontId="19" fillId="15" borderId="0" xfId="0" applyFont="1" applyFill="1" applyAlignment="1">
      <alignment horizontal="center" vertical="center"/>
    </xf>
    <xf numFmtId="0" fontId="25" fillId="14" borderId="0" xfId="0" applyFont="1" applyFill="1" applyBorder="1" applyAlignment="1">
      <alignment horizontal="center"/>
    </xf>
    <xf numFmtId="0" fontId="22" fillId="7" borderId="34" xfId="0" applyFont="1" applyFill="1" applyBorder="1" applyAlignment="1">
      <alignment horizontal="right"/>
    </xf>
    <xf numFmtId="0" fontId="22" fillId="7" borderId="0" xfId="0" applyFont="1" applyFill="1" applyBorder="1" applyAlignment="1">
      <alignment horizontal="right"/>
    </xf>
    <xf numFmtId="0" fontId="21" fillId="17" borderId="40" xfId="0" applyFont="1" applyFill="1" applyBorder="1" applyAlignment="1">
      <alignment horizontal="center"/>
    </xf>
    <xf numFmtId="0" fontId="21" fillId="17" borderId="30" xfId="0" applyFont="1" applyFill="1" applyBorder="1" applyAlignment="1">
      <alignment horizontal="center"/>
    </xf>
    <xf numFmtId="0" fontId="42" fillId="33" borderId="31" xfId="0" applyFont="1" applyFill="1" applyBorder="1" applyAlignment="1">
      <alignment horizontal="center"/>
    </xf>
    <xf numFmtId="0" fontId="42" fillId="33" borderId="32" xfId="0" applyFont="1" applyFill="1" applyBorder="1" applyAlignment="1">
      <alignment horizontal="center"/>
    </xf>
    <xf numFmtId="0" fontId="42" fillId="33" borderId="33" xfId="0" applyFont="1" applyFill="1" applyBorder="1" applyAlignment="1">
      <alignment horizontal="center"/>
    </xf>
    <xf numFmtId="0" fontId="24" fillId="15" borderId="0" xfId="0" applyFont="1" applyFill="1" applyBorder="1" applyAlignment="1">
      <alignment horizontal="center"/>
    </xf>
    <xf numFmtId="0" fontId="20" fillId="3" borderId="32" xfId="0" applyFont="1" applyFill="1" applyBorder="1" applyAlignment="1">
      <alignment horizontal="center"/>
    </xf>
    <xf numFmtId="0" fontId="22" fillId="7" borderId="45" xfId="0" applyFont="1" applyFill="1" applyBorder="1" applyAlignment="1">
      <alignment horizontal="center"/>
    </xf>
    <xf numFmtId="0" fontId="22" fillId="7" borderId="0" xfId="0" applyFont="1" applyFill="1" applyBorder="1" applyAlignment="1">
      <alignment horizontal="center"/>
    </xf>
    <xf numFmtId="0" fontId="22" fillId="7" borderId="45" xfId="0" applyFont="1" applyFill="1" applyBorder="1" applyAlignment="1">
      <alignment horizontal="left"/>
    </xf>
    <xf numFmtId="0" fontId="22" fillId="7" borderId="0" xfId="0" applyFont="1" applyFill="1" applyBorder="1" applyAlignment="1">
      <alignment horizontal="left"/>
    </xf>
    <xf numFmtId="0" fontId="44" fillId="8" borderId="40" xfId="0" applyFont="1" applyFill="1" applyBorder="1" applyAlignment="1">
      <alignment horizontal="center"/>
    </xf>
    <xf numFmtId="0" fontId="44" fillId="8" borderId="30" xfId="0" applyFont="1" applyFill="1" applyBorder="1" applyAlignment="1">
      <alignment horizontal="center"/>
    </xf>
    <xf numFmtId="164" fontId="44" fillId="8" borderId="30" xfId="2" applyFont="1" applyFill="1" applyBorder="1" applyAlignment="1">
      <alignment horizontal="center"/>
    </xf>
    <xf numFmtId="0" fontId="42" fillId="24" borderId="31" xfId="0" applyFont="1" applyFill="1" applyBorder="1" applyAlignment="1">
      <alignment horizontal="center"/>
    </xf>
    <xf numFmtId="0" fontId="42" fillId="24" borderId="32" xfId="0" applyFont="1" applyFill="1" applyBorder="1" applyAlignment="1">
      <alignment horizontal="center"/>
    </xf>
    <xf numFmtId="0" fontId="42" fillId="24" borderId="33" xfId="0" applyFont="1" applyFill="1" applyBorder="1" applyAlignment="1">
      <alignment horizontal="center"/>
    </xf>
    <xf numFmtId="0" fontId="44" fillId="8" borderId="34" xfId="0" applyFont="1" applyFill="1" applyBorder="1" applyAlignment="1">
      <alignment horizontal="center"/>
    </xf>
    <xf numFmtId="0" fontId="44" fillId="8" borderId="0" xfId="0" applyFont="1" applyFill="1" applyBorder="1" applyAlignment="1">
      <alignment horizontal="center"/>
    </xf>
    <xf numFmtId="164" fontId="44" fillId="8" borderId="0" xfId="2" applyFont="1" applyFill="1" applyBorder="1" applyAlignment="1">
      <alignment horizontal="center"/>
    </xf>
    <xf numFmtId="0" fontId="25" fillId="12" borderId="40" xfId="0" applyFont="1" applyFill="1" applyBorder="1" applyAlignment="1">
      <alignment horizontal="center"/>
    </xf>
    <xf numFmtId="0" fontId="25" fillId="12" borderId="30" xfId="0" applyFont="1" applyFill="1" applyBorder="1" applyAlignment="1">
      <alignment horizontal="center"/>
    </xf>
    <xf numFmtId="164" fontId="26" fillId="12" borderId="30" xfId="0" applyNumberFormat="1" applyFont="1" applyFill="1" applyBorder="1" applyAlignment="1">
      <alignment horizontal="center"/>
    </xf>
    <xf numFmtId="0" fontId="26" fillId="12" borderId="30" xfId="0" applyFont="1" applyFill="1" applyBorder="1" applyAlignment="1">
      <alignment horizontal="center"/>
    </xf>
    <xf numFmtId="0" fontId="28" fillId="7" borderId="59" xfId="0" applyFont="1" applyFill="1" applyBorder="1" applyAlignment="1">
      <alignment horizontal="center" vertical="center" wrapText="1"/>
    </xf>
    <xf numFmtId="0" fontId="28" fillId="7" borderId="60" xfId="0" applyFont="1" applyFill="1" applyBorder="1" applyAlignment="1">
      <alignment horizontal="center" vertical="center" wrapText="1"/>
    </xf>
    <xf numFmtId="0" fontId="28" fillId="7" borderId="61" xfId="0" applyFont="1" applyFill="1" applyBorder="1" applyAlignment="1">
      <alignment horizontal="center" vertical="center" wrapText="1"/>
    </xf>
    <xf numFmtId="0" fontId="28" fillId="7" borderId="40" xfId="0" applyFont="1" applyFill="1" applyBorder="1" applyAlignment="1">
      <alignment horizontal="center" vertical="center" wrapText="1"/>
    </xf>
    <xf numFmtId="0" fontId="28" fillId="7" borderId="30" xfId="0" applyFont="1" applyFill="1" applyBorder="1" applyAlignment="1">
      <alignment horizontal="center" vertical="center" wrapText="1"/>
    </xf>
    <xf numFmtId="0" fontId="28" fillId="7" borderId="41" xfId="0" applyFont="1" applyFill="1" applyBorder="1" applyAlignment="1">
      <alignment horizontal="center" vertical="center" wrapText="1"/>
    </xf>
    <xf numFmtId="164" fontId="14" fillId="20" borderId="40" xfId="2" applyFont="1" applyFill="1" applyBorder="1" applyAlignment="1">
      <alignment horizontal="left" vertical="center"/>
    </xf>
    <xf numFmtId="164" fontId="14" fillId="20" borderId="30" xfId="2" applyFont="1" applyFill="1" applyBorder="1" applyAlignment="1">
      <alignment horizontal="left" vertical="center"/>
    </xf>
    <xf numFmtId="0" fontId="20" fillId="19" borderId="50" xfId="0" applyFont="1" applyFill="1" applyBorder="1" applyAlignment="1">
      <alignment horizontal="center" vertical="center" wrapText="1"/>
    </xf>
    <xf numFmtId="0" fontId="20" fillId="19" borderId="51" xfId="0" applyFont="1" applyFill="1" applyBorder="1" applyAlignment="1">
      <alignment horizontal="center" vertical="center" wrapText="1"/>
    </xf>
    <xf numFmtId="164" fontId="14" fillId="7" borderId="52" xfId="0" applyNumberFormat="1" applyFont="1" applyFill="1" applyBorder="1" applyAlignment="1">
      <alignment horizontal="center" vertical="center"/>
    </xf>
    <xf numFmtId="0" fontId="14" fillId="7" borderId="52" xfId="0" applyFont="1" applyFill="1" applyBorder="1" applyAlignment="1">
      <alignment horizontal="center" vertical="center"/>
    </xf>
    <xf numFmtId="0" fontId="28" fillId="7" borderId="53" xfId="0" applyFont="1" applyFill="1" applyBorder="1" applyAlignment="1">
      <alignment horizontal="center" vertical="center" wrapText="1"/>
    </xf>
    <xf numFmtId="0" fontId="28" fillId="7" borderId="32" xfId="0" applyFont="1" applyFill="1" applyBorder="1" applyAlignment="1">
      <alignment horizontal="center" vertical="center" wrapText="1"/>
    </xf>
    <xf numFmtId="0" fontId="28" fillId="7" borderId="33" xfId="0" applyFont="1" applyFill="1" applyBorder="1" applyAlignment="1">
      <alignment horizontal="center" vertical="center" wrapText="1"/>
    </xf>
    <xf numFmtId="0" fontId="28" fillId="7" borderId="56" xfId="0" applyFont="1" applyFill="1" applyBorder="1" applyAlignment="1">
      <alignment horizontal="center" vertical="center" wrapText="1"/>
    </xf>
    <xf numFmtId="0" fontId="28" fillId="7" borderId="57" xfId="0" applyFont="1" applyFill="1" applyBorder="1" applyAlignment="1">
      <alignment horizontal="center" vertical="center" wrapText="1"/>
    </xf>
    <xf numFmtId="0" fontId="28" fillId="7" borderId="58" xfId="0" applyFont="1" applyFill="1" applyBorder="1" applyAlignment="1">
      <alignment horizontal="center" vertical="center" wrapText="1"/>
    </xf>
    <xf numFmtId="0" fontId="30" fillId="7" borderId="54" xfId="0" applyFont="1" applyFill="1" applyBorder="1" applyAlignment="1">
      <alignment horizontal="center" vertical="center"/>
    </xf>
    <xf numFmtId="0" fontId="30" fillId="7" borderId="55" xfId="0" applyFont="1" applyFill="1" applyBorder="1" applyAlignment="1">
      <alignment horizontal="center" vertical="center"/>
    </xf>
    <xf numFmtId="164" fontId="20" fillId="7" borderId="3" xfId="0" applyNumberFormat="1" applyFont="1" applyFill="1" applyBorder="1" applyAlignment="1">
      <alignment horizontal="center" vertical="center"/>
    </xf>
    <xf numFmtId="0" fontId="49" fillId="4" borderId="21" xfId="0" applyFont="1" applyFill="1" applyBorder="1" applyAlignment="1">
      <alignment horizontal="center"/>
    </xf>
    <xf numFmtId="0" fontId="49" fillId="4" borderId="23" xfId="0" applyFont="1" applyFill="1" applyBorder="1" applyAlignment="1">
      <alignment horizontal="center"/>
    </xf>
    <xf numFmtId="0" fontId="5" fillId="27" borderId="0" xfId="5" applyFont="1" applyAlignment="1">
      <alignment horizontal="center"/>
    </xf>
    <xf numFmtId="0" fontId="8" fillId="25" borderId="0" xfId="3" applyAlignment="1">
      <alignment horizontal="center"/>
    </xf>
    <xf numFmtId="0" fontId="50" fillId="26" borderId="0" xfId="4" applyFont="1" applyAlignment="1">
      <alignment horizontal="center"/>
    </xf>
    <xf numFmtId="0" fontId="37" fillId="29" borderId="21" xfId="0" applyFont="1" applyFill="1" applyBorder="1" applyAlignment="1">
      <alignment horizontal="center"/>
    </xf>
    <xf numFmtId="0" fontId="37" fillId="29" borderId="23" xfId="0" applyFont="1" applyFill="1" applyBorder="1" applyAlignment="1">
      <alignment horizontal="center"/>
    </xf>
  </cellXfs>
  <cellStyles count="6">
    <cellStyle name="Énfasis2" xfId="3" builtinId="33"/>
    <cellStyle name="Énfasis5" xfId="4" builtinId="45"/>
    <cellStyle name="Énfasis6" xfId="5" builtinId="49"/>
    <cellStyle name="Moneda" xfId="2" builtinId="4"/>
    <cellStyle name="Normal" xfId="0" builtinId="0"/>
    <cellStyle name="Porcentaje" xfId="1" builtinId="5"/>
  </cellStyles>
  <dxfs count="58">
    <dxf>
      <fill>
        <patternFill>
          <bgColor rgb="FFFF99FF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D60093"/>
        </patternFill>
      </fill>
    </dxf>
    <dxf>
      <fill>
        <patternFill patternType="solid">
          <bgColor rgb="FFD60093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FF99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66" formatCode="_-[$$-80A]* #,##0.00_-;\-[$$-80A]* #,##0.00_-;_-[$$-80A]* &quot;-&quot;??_-;_-@_-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general" indent="0" readingOrder="0"/>
    </dxf>
    <dxf>
      <font>
        <sz val="10"/>
      </font>
    </dxf>
    <dxf>
      <numFmt numFmtId="164" formatCode="_-&quot;$&quot;* #,##0.00_-;\-&quot;$&quot;* #,##0.00_-;_-&quot;$&quot;* &quot;-&quot;??_-;_-@_-"/>
    </dxf>
    <dxf>
      <numFmt numFmtId="166" formatCode="_-[$$-80A]* #,##0.00_-;\-[$$-80A]* #,##0.00_-;_-[$$-80A]* &quot;-&quot;??_-;_-@_-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5" formatCode="dd/mm/yyyy;@"/>
    </dxf>
    <dxf>
      <alignment horizontal="center" vertical="bottom" textRotation="0" wrapText="0" indent="0" justifyLastLine="0" shrinkToFit="0" readingOrder="0"/>
    </dxf>
    <dxf>
      <numFmt numFmtId="166" formatCode="_-[$$-80A]* #,##0.00_-;\-[$$-80A]* #,##0.00_-;_-[$$-80A]* &quot;-&quot;??_-;_-@_-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5" formatCode="dd/mm/yyyy;@"/>
    </dxf>
    <dxf>
      <alignment horizontal="center" vertical="bottom" textRotation="0" wrapText="0" indent="0" justifyLastLine="0" shrinkToFit="0" readingOrder="0"/>
    </dxf>
    <dxf>
      <font>
        <color rgb="FFD60093"/>
      </font>
    </dxf>
    <dxf>
      <font>
        <color rgb="FFD60093"/>
      </font>
    </dxf>
    <dxf>
      <font>
        <color rgb="FFD60093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D60093"/>
      </font>
    </dxf>
    <dxf>
      <font>
        <color rgb="FFD60093"/>
      </font>
    </dxf>
    <dxf>
      <font>
        <color rgb="FFD60093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D60093"/>
      </font>
    </dxf>
    <dxf>
      <font>
        <color rgb="FFD60093"/>
      </font>
    </dxf>
    <dxf>
      <font>
        <color rgb="FFD60093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colors>
    <mruColors>
      <color rgb="FF00FF00"/>
      <color rgb="FFD60093"/>
      <color rgb="FFFF99FF"/>
      <color rgb="FF00FFFF"/>
      <color rgb="FF66FF33"/>
      <color rgb="FFCCFF99"/>
      <color rgb="FFFFCCFF"/>
      <color rgb="FFFFFF99"/>
      <color rgb="FFCCECFF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14" Type="http://schemas.openxmlformats.org/officeDocument/2006/relationships/theme" Target="theme/theme1.xml"/><Relationship Id="rId20" Type="http://schemas.openxmlformats.org/officeDocument/2006/relationships/worksheet" Target="worksheets/sheet9.xml"/><Relationship Id="rId21" Type="http://schemas.openxmlformats.org/officeDocument/2006/relationships/worksheet" Target="worksheets/sheet10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[ejemplo2 concentrados Fabi.xlsx]concentrado!Tabla dinámica4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500"/>
              <a:t>Ingresos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concentrado!$C$14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concentrado!$B$15:$B$18</c:f>
              <c:multiLvlStrCache>
                <c:ptCount val="1"/>
                <c:lvl>
                  <c:pt idx="0">
                    <c:v>feb</c:v>
                  </c:pt>
                </c:lvl>
                <c:lvl>
                  <c:pt idx="0">
                    <c:v>salario</c:v>
                  </c:pt>
                </c:lvl>
              </c:multiLvlStrCache>
            </c:multiLvlStrRef>
          </c:cat>
          <c:val>
            <c:numRef>
              <c:f>concentrado!$C$15:$C$18</c:f>
              <c:numCache>
                <c:formatCode>_-"$"* #,##0.00_-;\-"$"* #,##0.00_-;_-"$"* "-"??_-;_-@_-</c:formatCode>
                <c:ptCount val="1"/>
                <c:pt idx="0">
                  <c:v>10818.92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05-4821-9186-3FB08B8CA57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639450000"/>
        <c:axId val="1639459248"/>
        <c:axId val="0"/>
      </c:bar3DChart>
      <c:catAx>
        <c:axId val="1639450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39459248"/>
        <c:crosses val="autoZero"/>
        <c:auto val="1"/>
        <c:lblAlgn val="ctr"/>
        <c:lblOffset val="100"/>
        <c:noMultiLvlLbl val="0"/>
      </c:catAx>
      <c:valAx>
        <c:axId val="1639459248"/>
        <c:scaling>
          <c:orientation val="minMax"/>
        </c:scaling>
        <c:delete val="1"/>
        <c:axPos val="b"/>
        <c:numFmt formatCode="_-&quot;$&quot;* #,##0.00_-;\-&quot;$&quot;* #,##0.00_-;_-&quot;$&quot;* &quot;-&quot;??_-;_-@_-" sourceLinked="1"/>
        <c:majorTickMark val="none"/>
        <c:minorTickMark val="none"/>
        <c:tickLblPos val="nextTo"/>
        <c:crossAx val="1639450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[ejemplo2 concentrados Fabi.xlsx]concentrado!Tabla dinámica8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500" b="0"/>
              <a:t>Egresos</a:t>
            </a:r>
            <a:endParaRPr lang="en-US" sz="1500" b="1"/>
          </a:p>
          <a:p>
            <a:pPr>
              <a:defRPr/>
            </a:pPr>
            <a:endParaRPr lang="en-US" sz="1200" b="0"/>
          </a:p>
        </c:rich>
      </c:tx>
      <c:layout>
        <c:manualLayout>
          <c:xMode val="edge"/>
          <c:yMode val="edge"/>
          <c:x val="0.4371613048328436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concentrado!$C$42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concentrado!$B$43:$B$44</c:f>
              <c:strCache>
                <c:ptCount val="1"/>
                <c:pt idx="0">
                  <c:v>FEB</c:v>
                </c:pt>
              </c:strCache>
            </c:strRef>
          </c:cat>
          <c:val>
            <c:numRef>
              <c:f>concentrado!$C$43:$C$44</c:f>
              <c:numCache>
                <c:formatCode>_-[$$-80A]* #,##0.00_-;\-[$$-80A]* #,##0.00_-;_-[$$-80A]* "-"??_-;_-@_-</c:formatCode>
                <c:ptCount val="1"/>
                <c:pt idx="0">
                  <c:v>22817.85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16-4413-822E-AB4B9F31A28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639451088"/>
        <c:axId val="1639452176"/>
        <c:axId val="0"/>
      </c:bar3DChart>
      <c:catAx>
        <c:axId val="1639451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39452176"/>
        <c:crosses val="autoZero"/>
        <c:auto val="1"/>
        <c:lblAlgn val="ctr"/>
        <c:lblOffset val="100"/>
        <c:noMultiLvlLbl val="0"/>
      </c:catAx>
      <c:valAx>
        <c:axId val="1639452176"/>
        <c:scaling>
          <c:orientation val="minMax"/>
        </c:scaling>
        <c:delete val="1"/>
        <c:axPos val="b"/>
        <c:numFmt formatCode="_-[$$-80A]* #,##0.00_-;\-[$$-80A]* #,##0.00_-;_-[$$-80A]* &quot;-&quot;??_-;_-@_-" sourceLinked="1"/>
        <c:majorTickMark val="none"/>
        <c:minorTickMark val="none"/>
        <c:tickLblPos val="nextTo"/>
        <c:crossAx val="1639451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Percepciones vs Deducciones por mes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'DASHBOARD'!$A$12:$A$23</f>
            </numRef>
          </cat>
          <val>
            <numRef>
              <f>'DASHBOARD'!$B$12:$B$23</f>
            </numRef>
          </val>
        </ser>
        <ser>
          <idx val="1"/>
          <order val="1"/>
          <tx>
            <strRef>
              <f>'DASHBOARD'!C11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'DASHBOARD'!$A$12:$A$23</f>
            </numRef>
          </cat>
          <val>
            <numRef>
              <f>'DASHBOARD'!$C$12:$C$23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Composición del mes seleccionado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'DASHBOARD'!$J$7:$J$8</f>
            </numRef>
          </cat>
          <val>
            <numRef>
              <f>'DASHBOARD'!$K$7:$K$8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Gastos por categoria (mes elegido)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'Gastos captura'!$H$6:$H$8</f>
            </numRef>
          </cat>
          <val>
            <numRef>
              <f>'Gastos captura'!$I$6:$I$8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hyperlink" Target="https://www.elearningbancoazteca.mx/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57150</xdr:rowOff>
    </xdr:from>
    <xdr:to>
      <xdr:col>2</xdr:col>
      <xdr:colOff>180974</xdr:colOff>
      <xdr:row>3</xdr:row>
      <xdr:rowOff>228600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3425" y="57150"/>
          <a:ext cx="1638299" cy="1733550"/>
        </a:xfrm>
        <a:prstGeom prst="rect">
          <a:avLst/>
        </a:prstGeom>
      </xdr:spPr>
    </xdr:pic>
    <xdr:clientData/>
  </xdr:twoCellAnchor>
  <xdr:twoCellAnchor editAs="oneCell">
    <xdr:from>
      <xdr:col>0</xdr:col>
      <xdr:colOff>787400</xdr:colOff>
      <xdr:row>58</xdr:row>
      <xdr:rowOff>12700</xdr:rowOff>
    </xdr:from>
    <xdr:to>
      <xdr:col>10</xdr:col>
      <xdr:colOff>457200</xdr:colOff>
      <xdr:row>61</xdr:row>
      <xdr:rowOff>128389</xdr:rowOff>
    </xdr:to>
    <xdr:pic>
      <xdr:nvPicPr>
        <xdr:cNvPr id="3" name="Imagen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0725" y="12157075"/>
          <a:ext cx="8099425" cy="658614"/>
        </a:xfrm>
        <a:prstGeom prst="rect">
          <a:avLst/>
        </a:prstGeom>
      </xdr:spPr>
    </xdr:pic>
    <xdr:clientData/>
  </xdr:twoCellAnchor>
  <xdr:twoCellAnchor>
    <xdr:from>
      <xdr:col>0</xdr:col>
      <xdr:colOff>714375</xdr:colOff>
      <xdr:row>58</xdr:row>
      <xdr:rowOff>9525</xdr:rowOff>
    </xdr:from>
    <xdr:to>
      <xdr:col>11</xdr:col>
      <xdr:colOff>0</xdr:colOff>
      <xdr:row>62</xdr:row>
      <xdr:rowOff>19050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714375" y="12192000"/>
          <a:ext cx="9086850" cy="733425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95250</xdr:colOff>
      <xdr:row>13</xdr:row>
      <xdr:rowOff>47626</xdr:rowOff>
    </xdr:from>
    <xdr:to>
      <xdr:col>8</xdr:col>
      <xdr:colOff>161924</xdr:colOff>
      <xdr:row>35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85725</xdr:colOff>
      <xdr:row>40</xdr:row>
      <xdr:rowOff>66675</xdr:rowOff>
    </xdr:from>
    <xdr:to>
      <xdr:col>8</xdr:col>
      <xdr:colOff>352426</xdr:colOff>
      <xdr:row>64</xdr:row>
      <xdr:rowOff>47625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104775</xdr:colOff>
      <xdr:row>13</xdr:row>
      <xdr:rowOff>85724</xdr:rowOff>
    </xdr:from>
    <xdr:to>
      <xdr:col>11</xdr:col>
      <xdr:colOff>438150</xdr:colOff>
      <xdr:row>40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mes">
              <a:extLst>
                <a:ext uri="{FF2B5EF4-FFF2-40B4-BE49-F238E27FC236}">
                  <a16:creationId xmlns:a16="http://schemas.microsoft.com/office/drawing/2014/main" id="{00000000-0008-0000-06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19950" y="2190749"/>
              <a:ext cx="2028825" cy="428625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95251</xdr:colOff>
      <xdr:row>46</xdr:row>
      <xdr:rowOff>142874</xdr:rowOff>
    </xdr:from>
    <xdr:to>
      <xdr:col>11</xdr:col>
      <xdr:colOff>428625</xdr:colOff>
      <xdr:row>55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mes 1">
              <a:extLst>
                <a:ext uri="{FF2B5EF4-FFF2-40B4-BE49-F238E27FC236}">
                  <a16:creationId xmlns:a16="http://schemas.microsoft.com/office/drawing/2014/main" id="{00000000-0008-0000-0600-000005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10426" y="7591424"/>
              <a:ext cx="2028824" cy="14097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wsDr xmlns="http://schemas.openxmlformats.org/drawingml/2006/spreadsheetDrawing">
  <oneCellAnchor>
    <from>
      <col>0</col>
      <colOff>0</colOff>
      <row>26</row>
      <rowOff>0</rowOff>
    </from>
    <ext cx="612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26</row>
      <rowOff>0</rowOff>
    </from>
    <ext cx="324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10</row>
      <rowOff>0</rowOff>
    </from>
    <ext cx="360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gel murillo" refreshedDate="45374.702363078701" createdVersion="5" refreshedVersion="5" minRefreshableVersion="3" recordCount="24" xr:uid="{00000000-000A-0000-FFFF-FFFF00000000}">
  <cacheSource type="worksheet">
    <worksheetSource name="salidas1"/>
  </cacheSource>
  <cacheFields count="4">
    <cacheField name="fecha" numFmtId="165">
      <sharedItems containsSemiMixedTypes="0" containsNonDate="0" containsDate="1" containsString="0" minDate="2024-01-31T00:00:00" maxDate="2024-04-01T00:00:00"/>
    </cacheField>
    <cacheField name="mes" numFmtId="0">
      <sharedItems containsSemiMixedTypes="0" containsString="0" containsNumber="1" containsInteger="1" minValue="1" maxValue="3" count="3">
        <n v="1"/>
        <n v="2"/>
        <n v="3"/>
      </sharedItems>
    </cacheField>
    <cacheField name="concepto" numFmtId="0">
      <sharedItems count="8">
        <s v="servicios"/>
        <s v="alimentos"/>
        <s v="transportes"/>
        <s v="salud"/>
        <s v="recreacion"/>
        <s v="g personales"/>
        <s v="cumpleaños"/>
        <s v="pago deuda"/>
      </sharedItems>
    </cacheField>
    <cacheField name="valor" numFmtId="166">
      <sharedItems containsSemiMixedTypes="0" containsString="0" containsNumber="1" minValue="0" maxValue="7912"/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gel murillo" refreshedDate="45374.702364467594" createdVersion="5" refreshedVersion="5" minRefreshableVersion="3" recordCount="57" xr:uid="{00000000-000A-0000-FFFF-FFFF01000000}">
  <cacheSource type="worksheet">
    <worksheetSource name="entradas"/>
  </cacheSource>
  <cacheFields count="4">
    <cacheField name="fecha" numFmtId="165">
      <sharedItems containsNonDate="0" containsDate="1" containsString="0" containsBlank="1" minDate="2024-01-30T00:00:00" maxDate="2025-01-01T00:00:00"/>
    </cacheField>
    <cacheField name="mes" numFmtId="0">
      <sharedItems containsMixedTypes="1" containsNumber="1" containsInteger="1" minValue="1" maxValue="3" count="15">
        <s v="12"/>
        <s v="11"/>
        <s v="10"/>
        <s v="09"/>
        <s v="08"/>
        <s v="07"/>
        <s v="06"/>
        <s v="05"/>
        <s v="04"/>
        <s v="03"/>
        <s v="02"/>
        <s v="01"/>
        <n v="2" u="1"/>
        <n v="1" u="1"/>
        <n v="3" u="1"/>
      </sharedItems>
    </cacheField>
    <cacheField name="concepto" numFmtId="0">
      <sharedItems containsBlank="1" count="2">
        <s v="salario"/>
        <m u="1"/>
      </sharedItems>
    </cacheField>
    <cacheField name="valor" numFmtId="166">
      <sharedItems containsSemiMixedTypes="0" containsString="0" containsNumber="1" minValue="350.02" maxValue="10516.75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d v="2024-01-31T00:00:00"/>
    <x v="0"/>
    <x v="0"/>
    <n v="2373.04"/>
  </r>
  <r>
    <d v="2024-01-31T00:00:00"/>
    <x v="0"/>
    <x v="1"/>
    <n v="6601.07"/>
  </r>
  <r>
    <d v="2024-01-31T00:00:00"/>
    <x v="0"/>
    <x v="2"/>
    <n v="1026"/>
  </r>
  <r>
    <d v="2024-01-31T00:00:00"/>
    <x v="0"/>
    <x v="3"/>
    <n v="0"/>
  </r>
  <r>
    <d v="2024-01-31T00:00:00"/>
    <x v="0"/>
    <x v="4"/>
    <n v="452"/>
  </r>
  <r>
    <d v="2024-01-31T00:00:00"/>
    <x v="0"/>
    <x v="5"/>
    <n v="1061.3"/>
  </r>
  <r>
    <d v="2024-01-31T00:00:00"/>
    <x v="0"/>
    <x v="6"/>
    <n v="0"/>
  </r>
  <r>
    <d v="2024-02-29T00:00:00"/>
    <x v="1"/>
    <x v="0"/>
    <n v="1849"/>
  </r>
  <r>
    <d v="2024-02-29T00:00:00"/>
    <x v="1"/>
    <x v="1"/>
    <n v="7619.7499999999991"/>
  </r>
  <r>
    <d v="2024-02-29T00:00:00"/>
    <x v="1"/>
    <x v="2"/>
    <n v="1026"/>
  </r>
  <r>
    <d v="2024-02-29T00:00:00"/>
    <x v="1"/>
    <x v="3"/>
    <n v="0"/>
  </r>
  <r>
    <d v="2024-02-29T00:00:00"/>
    <x v="1"/>
    <x v="4"/>
    <n v="487"/>
  </r>
  <r>
    <d v="2024-02-29T00:00:00"/>
    <x v="1"/>
    <x v="5"/>
    <n v="3924.1000000000004"/>
  </r>
  <r>
    <d v="2024-02-29T00:00:00"/>
    <x v="1"/>
    <x v="6"/>
    <n v="0"/>
  </r>
  <r>
    <d v="2024-03-31T00:00:00"/>
    <x v="2"/>
    <x v="0"/>
    <n v="915"/>
  </r>
  <r>
    <d v="2024-03-31T00:00:00"/>
    <x v="2"/>
    <x v="1"/>
    <n v="3656.61"/>
  </r>
  <r>
    <d v="2024-03-31T00:00:00"/>
    <x v="2"/>
    <x v="2"/>
    <n v="1026"/>
  </r>
  <r>
    <d v="2024-03-31T00:00:00"/>
    <x v="2"/>
    <x v="3"/>
    <n v="176"/>
  </r>
  <r>
    <d v="2024-03-31T00:00:00"/>
    <x v="2"/>
    <x v="4"/>
    <n v="360.8"/>
  </r>
  <r>
    <d v="2024-03-31T00:00:00"/>
    <x v="2"/>
    <x v="5"/>
    <n v="387.35"/>
  </r>
  <r>
    <d v="2024-03-31T00:00:00"/>
    <x v="2"/>
    <x v="6"/>
    <n v="0"/>
  </r>
  <r>
    <d v="2024-01-31T00:00:00"/>
    <x v="0"/>
    <x v="7"/>
    <n v="3829"/>
  </r>
  <r>
    <d v="2024-02-29T00:00:00"/>
    <x v="1"/>
    <x v="7"/>
    <n v="7912"/>
  </r>
  <r>
    <d v="2024-03-31T00:00:00"/>
    <x v="2"/>
    <x v="7"/>
    <n v="210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7">
  <r>
    <d v="2024-12-31T00:00:00"/>
    <x v="0"/>
    <x v="0"/>
    <n v="5071.55"/>
  </r>
  <r>
    <m/>
    <x v="0"/>
    <x v="0"/>
    <n v="4864.63"/>
  </r>
  <r>
    <m/>
    <x v="0"/>
    <x v="0"/>
    <n v="4025.25"/>
  </r>
  <r>
    <m/>
    <x v="0"/>
    <x v="0"/>
    <n v="10516.75"/>
  </r>
  <r>
    <m/>
    <x v="0"/>
    <x v="0"/>
    <n v="3044.3099999999995"/>
  </r>
  <r>
    <d v="2024-11-30T00:00:00"/>
    <x v="1"/>
    <x v="0"/>
    <n v="3010.95"/>
  </r>
  <r>
    <m/>
    <x v="1"/>
    <x v="0"/>
    <n v="7276.5600000000013"/>
  </r>
  <r>
    <m/>
    <x v="1"/>
    <x v="0"/>
    <n v="7801.8400000000011"/>
  </r>
  <r>
    <m/>
    <x v="1"/>
    <x v="0"/>
    <n v="5063.0300000000007"/>
  </r>
  <r>
    <m/>
    <x v="1"/>
    <x v="0"/>
    <n v="4676.09"/>
  </r>
  <r>
    <m/>
    <x v="1"/>
    <x v="0"/>
    <n v="3193.7100000000005"/>
  </r>
  <r>
    <d v="2024-10-30T00:00:00"/>
    <x v="2"/>
    <x v="0"/>
    <n v="4205.08"/>
  </r>
  <r>
    <m/>
    <x v="2"/>
    <x v="0"/>
    <n v="4384.49"/>
  </r>
  <r>
    <m/>
    <x v="2"/>
    <x v="0"/>
    <n v="3308.41"/>
  </r>
  <r>
    <m/>
    <x v="2"/>
    <x v="0"/>
    <n v="3746.2"/>
  </r>
  <r>
    <d v="2024-09-30T00:00:00"/>
    <x v="3"/>
    <x v="0"/>
    <n v="2941.7400000000002"/>
  </r>
  <r>
    <m/>
    <x v="3"/>
    <x v="0"/>
    <n v="3844.08"/>
  </r>
  <r>
    <m/>
    <x v="3"/>
    <x v="0"/>
    <n v="3548.1700000000005"/>
  </r>
  <r>
    <m/>
    <x v="3"/>
    <x v="0"/>
    <n v="4128.0599999999995"/>
  </r>
  <r>
    <d v="2024-08-30T00:00:00"/>
    <x v="4"/>
    <x v="0"/>
    <n v="2450.85"/>
  </r>
  <r>
    <m/>
    <x v="4"/>
    <x v="0"/>
    <n v="3589.2499999999995"/>
  </r>
  <r>
    <m/>
    <x v="4"/>
    <x v="0"/>
    <n v="3509.0600000000004"/>
  </r>
  <r>
    <m/>
    <x v="4"/>
    <x v="0"/>
    <n v="3477.92"/>
  </r>
  <r>
    <m/>
    <x v="4"/>
    <x v="0"/>
    <n v="3100.5"/>
  </r>
  <r>
    <d v="2024-07-30T00:00:00"/>
    <x v="5"/>
    <x v="0"/>
    <n v="3121.8099999999995"/>
  </r>
  <r>
    <m/>
    <x v="5"/>
    <x v="0"/>
    <n v="2972.66"/>
  </r>
  <r>
    <m/>
    <x v="5"/>
    <x v="0"/>
    <n v="3080.34"/>
  </r>
  <r>
    <m/>
    <x v="5"/>
    <x v="0"/>
    <n v="3707.0299999999997"/>
  </r>
  <r>
    <d v="2024-06-30T00:00:00"/>
    <x v="6"/>
    <x v="0"/>
    <n v="3078.0699999999997"/>
  </r>
  <r>
    <m/>
    <x v="6"/>
    <x v="0"/>
    <n v="3343.8200000000006"/>
  </r>
  <r>
    <m/>
    <x v="6"/>
    <x v="0"/>
    <n v="3133.8100000000004"/>
  </r>
  <r>
    <m/>
    <x v="6"/>
    <x v="0"/>
    <n v="2298.1"/>
  </r>
  <r>
    <d v="2024-05-30T00:00:00"/>
    <x v="7"/>
    <x v="0"/>
    <n v="3183.37"/>
  </r>
  <r>
    <m/>
    <x v="7"/>
    <x v="0"/>
    <n v="354.90999999999997"/>
  </r>
  <r>
    <m/>
    <x v="7"/>
    <x v="0"/>
    <n v="2053.46"/>
  </r>
  <r>
    <m/>
    <x v="7"/>
    <x v="0"/>
    <n v="2593.92"/>
  </r>
  <r>
    <m/>
    <x v="7"/>
    <x v="0"/>
    <n v="350.02"/>
  </r>
  <r>
    <m/>
    <x v="7"/>
    <x v="0"/>
    <n v="357.22"/>
  </r>
  <r>
    <m/>
    <x v="7"/>
    <x v="0"/>
    <n v="1922.1699999999998"/>
  </r>
  <r>
    <m/>
    <x v="7"/>
    <x v="0"/>
    <n v="2927.05"/>
  </r>
  <r>
    <d v="2024-04-30T00:00:00"/>
    <x v="8"/>
    <x v="0"/>
    <n v="2370.96"/>
  </r>
  <r>
    <m/>
    <x v="8"/>
    <x v="0"/>
    <n v="2261.5500000000002"/>
  </r>
  <r>
    <m/>
    <x v="8"/>
    <x v="0"/>
    <n v="2949.54"/>
  </r>
  <r>
    <m/>
    <x v="8"/>
    <x v="0"/>
    <n v="3841.04"/>
  </r>
  <r>
    <d v="2024-03-31T00:00:00"/>
    <x v="9"/>
    <x v="0"/>
    <n v="3889.2699999999995"/>
  </r>
  <r>
    <m/>
    <x v="9"/>
    <x v="0"/>
    <n v="3144.5299999999997"/>
  </r>
  <r>
    <m/>
    <x v="9"/>
    <x v="0"/>
    <n v="3595.5499999999997"/>
  </r>
  <r>
    <m/>
    <x v="9"/>
    <x v="0"/>
    <n v="2493.12"/>
  </r>
  <r>
    <m/>
    <x v="9"/>
    <x v="0"/>
    <n v="3121.15"/>
  </r>
  <r>
    <d v="2024-02-29T00:00:00"/>
    <x v="10"/>
    <x v="0"/>
    <n v="2290.27"/>
  </r>
  <r>
    <m/>
    <x v="10"/>
    <x v="0"/>
    <n v="2361.58"/>
  </r>
  <r>
    <m/>
    <x v="10"/>
    <x v="0"/>
    <n v="3151.42"/>
  </r>
  <r>
    <m/>
    <x v="10"/>
    <x v="0"/>
    <n v="3015.6499999999996"/>
  </r>
  <r>
    <d v="2024-01-30T00:00:00"/>
    <x v="11"/>
    <x v="0"/>
    <n v="3244.45"/>
  </r>
  <r>
    <m/>
    <x v="11"/>
    <x v="0"/>
    <n v="2629.09"/>
  </r>
  <r>
    <m/>
    <x v="11"/>
    <x v="0"/>
    <n v="2631.3399999999997"/>
  </r>
  <r>
    <m/>
    <x v="11"/>
    <x v="0"/>
    <n v="2682.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1000000}" name="Tabla dinámica8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1">
  <location ref="B42:C44" firstHeaderRow="1" firstDataRow="1" firstDataCol="1"/>
  <pivotFields count="4">
    <pivotField showAll="0"/>
    <pivotField axis="axisRow" showAll="0">
      <items count="4">
        <item n="ENE" h="1" sd="0" x="0"/>
        <item n="FEB" sd="0" x="1"/>
        <item n="MZO" h="1" x="2"/>
        <item t="default"/>
      </items>
    </pivotField>
    <pivotField axis="axisRow" showAll="0">
      <items count="9">
        <item x="1"/>
        <item x="6"/>
        <item x="5"/>
        <item x="4"/>
        <item x="3"/>
        <item x="0"/>
        <item x="2"/>
        <item x="7"/>
        <item t="default"/>
      </items>
    </pivotField>
    <pivotField dataField="1" numFmtId="166" showAll="0"/>
  </pivotFields>
  <rowFields count="2">
    <field x="1"/>
    <field x="2"/>
  </rowFields>
  <rowItems count="2">
    <i>
      <x v="1"/>
    </i>
    <i t="grand">
      <x/>
    </i>
  </rowItems>
  <colItems count="1">
    <i/>
  </colItems>
  <dataFields count="1">
    <dataField name="Suma de valor" fld="3" baseField="0" baseItem="0" numFmtId="166"/>
  </dataFields>
  <formats count="16">
    <format dxfId="15">
      <pivotArea outline="0" collapsedLevelsAreSubtotals="1" fieldPosition="0"/>
    </format>
    <format dxfId="14">
      <pivotArea type="all" dataOnly="0" outline="0" fieldPosition="0"/>
    </format>
    <format dxfId="13">
      <pivotArea outline="0" collapsedLevelsAreSubtotals="1" fieldPosition="0"/>
    </format>
    <format dxfId="12">
      <pivotArea field="1" type="button" dataOnly="0" labelOnly="1" outline="0" axis="axisRow" fieldPosition="0"/>
    </format>
    <format dxfId="11">
      <pivotArea dataOnly="0" labelOnly="1" outline="0" axis="axisValues" fieldPosition="0"/>
    </format>
    <format dxfId="10">
      <pivotArea dataOnly="0" labelOnly="1" fieldPosition="0">
        <references count="1">
          <reference field="1" count="0"/>
        </references>
      </pivotArea>
    </format>
    <format dxfId="9">
      <pivotArea dataOnly="0" labelOnly="1" grandRow="1" outline="0" fieldPosition="0"/>
    </format>
    <format dxfId="8">
      <pivotArea dataOnly="0" labelOnly="1" fieldPosition="0">
        <references count="2">
          <reference field="1" count="0" selected="0"/>
          <reference field="2" count="0"/>
        </references>
      </pivotArea>
    </format>
    <format dxfId="7">
      <pivotArea dataOnly="0" labelOnly="1" fieldPosition="0">
        <references count="2">
          <reference field="1" count="0" selected="0"/>
          <reference field="2" count="1">
            <x v="0"/>
          </reference>
        </references>
      </pivotArea>
    </format>
    <format dxfId="6">
      <pivotArea dataOnly="0" labelOnly="1" fieldPosition="0">
        <references count="2">
          <reference field="1" count="0" selected="0"/>
          <reference field="2" count="1">
            <x v="5"/>
          </reference>
        </references>
      </pivotArea>
    </format>
    <format dxfId="5">
      <pivotArea dataOnly="0" labelOnly="1" fieldPosition="0">
        <references count="2">
          <reference field="1" count="0" selected="0"/>
          <reference field="2" count="1">
            <x v="6"/>
          </reference>
        </references>
      </pivotArea>
    </format>
    <format dxfId="4">
      <pivotArea dataOnly="0" labelOnly="1" fieldPosition="0">
        <references count="2">
          <reference field="1" count="0" selected="0"/>
          <reference field="2" count="1">
            <x v="4"/>
          </reference>
        </references>
      </pivotArea>
    </format>
    <format dxfId="3">
      <pivotArea dataOnly="0" labelOnly="1" fieldPosition="0">
        <references count="2">
          <reference field="1" count="0" selected="0"/>
          <reference field="2" count="1">
            <x v="1"/>
          </reference>
        </references>
      </pivotArea>
    </format>
    <format dxfId="2">
      <pivotArea dataOnly="0" labelOnly="1" fieldPosition="0">
        <references count="2">
          <reference field="1" count="0" selected="0"/>
          <reference field="2" count="1">
            <x v="2"/>
          </reference>
        </references>
      </pivotArea>
    </format>
    <format dxfId="1">
      <pivotArea dataOnly="0" labelOnly="1" fieldPosition="0">
        <references count="2">
          <reference field="1" count="0" selected="0"/>
          <reference field="2" count="1">
            <x v="3"/>
          </reference>
        </references>
      </pivotArea>
    </format>
    <format dxfId="0">
      <pivotArea dataOnly="0" labelOnly="1" fieldPosition="0">
        <references count="2">
          <reference field="1" count="0" selected="0"/>
          <reference field="2" count="2">
            <x v="1"/>
            <x v="2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Tabla dinámica4" cacheId="1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3">
  <location ref="B14:C18" firstHeaderRow="1" firstDataRow="1" firstDataCol="1"/>
  <pivotFields count="4">
    <pivotField subtotalTop="0" showAll="0"/>
    <pivotField axis="axisRow" subtotalTop="0" showAll="0">
      <items count="16">
        <item n="ENERO" h="1" m="1" x="13"/>
        <item n="FEBRERO" h="1" m="1" x="12"/>
        <item n="MARZO" h="1" m="1" x="14"/>
        <item n="dic" h="1" x="0"/>
        <item n="nov" h="1" x="1"/>
        <item n="oct" h="1" x="2"/>
        <item n="sep" h="1" x="3"/>
        <item n="ago" h="1" x="4"/>
        <item n="jul" h="1" x="5"/>
        <item n="jun" h="1" x="6"/>
        <item n="may" h="1" x="7"/>
        <item n="abr" h="1" x="8"/>
        <item n="mzo" h="1" x="9"/>
        <item n="feb" x="10"/>
        <item n="ene" h="1" x="11"/>
        <item t="default"/>
      </items>
    </pivotField>
    <pivotField axis="axisRow" subtotalTop="0" showAll="0">
      <items count="3">
        <item x="0"/>
        <item h="1" sd="0" m="1" x="1"/>
        <item t="default" sd="0"/>
      </items>
    </pivotField>
    <pivotField dataField="1" subtotalTop="0" showAll="0"/>
  </pivotFields>
  <rowFields count="2">
    <field x="2"/>
    <field x="1"/>
  </rowFields>
  <rowItems count="4">
    <i>
      <x/>
    </i>
    <i r="1">
      <x v="13"/>
    </i>
    <i t="default">
      <x/>
    </i>
    <i t="grand">
      <x/>
    </i>
  </rowItems>
  <colItems count="1">
    <i/>
  </colItems>
  <dataFields count="1">
    <dataField name="Suma de valor" fld="3" baseField="2" baseItem="0" numFmtId="164"/>
  </dataFields>
  <formats count="11">
    <format dxfId="26">
      <pivotArea outline="0" collapsedLevelsAreSubtotals="1" fieldPosition="0"/>
    </format>
    <format dxfId="25">
      <pivotArea type="all" dataOnly="0" outline="0" fieldPosition="0"/>
    </format>
    <format dxfId="24">
      <pivotArea dataOnly="0" labelOnly="1" fieldPosition="0">
        <references count="2">
          <reference field="1" count="0"/>
          <reference field="2" count="0" selected="0"/>
        </references>
      </pivotArea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2" type="button" dataOnly="0" labelOnly="1" outline="0" axis="axisRow" fieldPosition="0"/>
    </format>
    <format dxfId="20">
      <pivotArea dataOnly="0" labelOnly="1" outline="0" axis="axisValues" fieldPosition="0"/>
    </format>
    <format dxfId="19">
      <pivotArea dataOnly="0" labelOnly="1" fieldPosition="0">
        <references count="1">
          <reference field="2" count="0"/>
        </references>
      </pivotArea>
    </format>
    <format dxfId="18">
      <pivotArea dataOnly="0" labelOnly="1" fieldPosition="0">
        <references count="1">
          <reference field="2" count="0" defaultSubtotal="1"/>
        </references>
      </pivotArea>
    </format>
    <format dxfId="17">
      <pivotArea dataOnly="0" labelOnly="1" grandRow="1" outline="0" fieldPosition="0"/>
    </format>
    <format dxfId="16">
      <pivotArea dataOnly="0" labelOnly="1" fieldPosition="0">
        <references count="2">
          <reference field="1" count="0"/>
          <reference field="2" count="0" selected="0"/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1" xr10:uid="{00000000-0013-0000-FFFF-FFFF01000000}" sourceName="mes">
  <pivotTables>
    <pivotTable tabId="32" name="Tabla dinámica8"/>
  </pivotTables>
  <data>
    <tabular pivotCacheId="2">
      <items count="3">
        <i x="1" s="1"/>
        <i x="0"/>
        <i x="2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" xr10:uid="{00000000-0013-0000-FFFF-FFFF02000000}" sourceName="mes">
  <pivotTables>
    <pivotTable tabId="32" name="Tabla dinámica4"/>
  </pivotTables>
  <data>
    <tabular pivotCacheId="1">
      <items count="15">
        <i x="11"/>
        <i x="10" s="1"/>
        <i x="8"/>
        <i x="4"/>
        <i x="0"/>
        <i x="7"/>
        <i x="6"/>
        <i x="5"/>
        <i x="3"/>
        <i x="2"/>
        <i x="1"/>
        <i x="9"/>
        <i x="13" nd="1"/>
        <i x="12" nd="1"/>
        <i x="14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es 1" xr10:uid="{00000000-0014-0000-FFFF-FFFF01000000}" cache="SegmentaciónDeDatos_mes1" caption="mes" rowHeight="241300"/>
  <slicer name="mes" xr10:uid="{00000000-0014-0000-FFFF-FFFF02000000}" cache="SegmentaciónDeDatos_mes" caption="mes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0000000}" name="Tabla9" displayName="Tabla9" ref="B7:E64" totalsRowShown="0" headerRowDxfId="36">
  <tableColumns count="4">
    <tableColumn id="1" xr3:uid="{00000000-0010-0000-0000-000001000000}" name="fecha" dataDxfId="35"/>
    <tableColumn id="2" xr3:uid="{00000000-0010-0000-0000-000002000000}" name="mes" dataDxfId="34">
      <calculatedColumnFormula>MID(fabi!#REF!,4,2)</calculatedColumnFormula>
    </tableColumn>
    <tableColumn id="3" xr3:uid="{00000000-0010-0000-0000-000003000000}" name="concepto" dataDxfId="33"/>
    <tableColumn id="4" xr3:uid="{00000000-0010-0000-0000-000004000000}" name="valor" dataDxfId="32">
      <calculatedColumnFormula>+fabi!#REF!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1000000}" name="Tabla10" displayName="Tabla10" ref="G7:J31" totalsRowShown="0" headerRowDxfId="31">
  <tableColumns count="4">
    <tableColumn id="1" xr3:uid="{00000000-0010-0000-0100-000001000000}" name="fecha" dataDxfId="30"/>
    <tableColumn id="2" xr3:uid="{00000000-0010-0000-0100-000002000000}" name="mes" dataDxfId="29"/>
    <tableColumn id="3" xr3:uid="{00000000-0010-0000-0100-000003000000}" name="concepto" dataDxfId="28"/>
    <tableColumn id="4" xr3:uid="{00000000-0010-0000-0100-000004000000}" name="valor" dataDxfId="2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11" name="Gastos" displayName="Gastos" ref="A4:E28" headerRowCount="1">
  <autoFilter ref="A4:E28"/>
  <tableColumns count="5">
    <tableColumn id="1" name="Mes"/>
    <tableColumn id="2" name="Categoria"/>
    <tableColumn id="3" name="Concepto"/>
    <tableColumn id="4" name="Importe"/>
    <tableColumn id="5" name="Origen"/>
  </tableColumns>
  <tableStyleInfo name="TableStyleMedium2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2.xml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3.xml" Id="rId2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39997558519241921"/>
  </sheetPr>
  <dimension ref="A1:CE5"/>
  <sheetViews>
    <sheetView tabSelected="1" workbookViewId="0">
      <selection activeCell="D5" sqref="D5"/>
    </sheetView>
  </sheetViews>
  <sheetFormatPr baseColWidth="10" defaultColWidth="11.44140625" defaultRowHeight="14.4"/>
  <cols>
    <col min="1" max="1" width="4.6640625" style="2" customWidth="1"/>
    <col min="2" max="2" width="38.6640625" style="1" bestFit="1" customWidth="1"/>
    <col min="3" max="3" width="23.44140625" style="1" customWidth="1"/>
    <col min="4" max="4" width="23.44140625" style="2" bestFit="1" customWidth="1"/>
    <col min="5" max="5" width="11.88671875" style="2" customWidth="1"/>
    <col min="6" max="6" width="15.33203125" style="260" customWidth="1"/>
    <col min="7" max="7" width="49.88671875" style="1" customWidth="1"/>
    <col min="8" max="8" width="37.44140625" style="1" customWidth="1"/>
    <col min="9" max="9" width="14.109375" style="1" customWidth="1"/>
    <col min="10" max="10" width="11.44140625" style="1" customWidth="1"/>
    <col min="11" max="11" width="16.6640625" style="1" customWidth="1"/>
    <col min="12" max="12" width="14.6640625" style="1" customWidth="1"/>
    <col min="13" max="13" width="11.88671875" style="1" customWidth="1"/>
    <col min="14" max="14" width="15" style="2" customWidth="1"/>
    <col min="15" max="15" width="30" style="2" customWidth="1"/>
    <col min="16" max="16" width="14.33203125" style="1" customWidth="1"/>
    <col min="17" max="17" width="18.6640625" style="2" customWidth="1"/>
    <col min="18" max="18" width="18.6640625" style="261" customWidth="1"/>
    <col min="19" max="19" width="23.33203125" style="25" customWidth="1"/>
    <col min="20" max="20" width="20" style="257" customWidth="1"/>
    <col min="21" max="21" width="19.109375" style="1" customWidth="1"/>
    <col min="22" max="22" width="29.109375" style="1" customWidth="1"/>
    <col min="23" max="23" width="21.44140625" style="262" customWidth="1"/>
    <col min="24" max="24" width="34.44140625" style="1" customWidth="1"/>
    <col min="25" max="25" width="34.44140625" style="2" customWidth="1"/>
    <col min="26" max="26" width="26.6640625" style="1" customWidth="1"/>
    <col min="27" max="27" width="70.33203125" style="2" customWidth="1"/>
    <col min="28" max="28" width="26.6640625" style="261" customWidth="1"/>
    <col min="29" max="29" width="28" style="1" customWidth="1"/>
    <col min="30" max="30" width="31.5546875" style="1" customWidth="1"/>
    <col min="31" max="31" width="21" style="2" customWidth="1"/>
    <col min="32" max="32" width="29.6640625" style="2" customWidth="1"/>
    <col min="33" max="33" width="33.5546875" style="9" customWidth="1"/>
    <col min="34" max="34" width="36" style="25" customWidth="1"/>
    <col min="35" max="35" width="42.5546875" style="1" customWidth="1"/>
    <col min="36" max="36" width="40.44140625" style="184" customWidth="1"/>
    <col min="37" max="37" width="34.33203125" style="1" customWidth="1"/>
    <col min="38" max="38" width="35" style="184" customWidth="1"/>
    <col min="39" max="39" width="33.44140625" style="1" customWidth="1"/>
    <col min="40" max="40" width="35.109375" style="1" customWidth="1"/>
    <col min="41" max="41" width="33.5546875" style="1" customWidth="1"/>
    <col min="42" max="42" width="26.109375" style="184" customWidth="1"/>
    <col min="43" max="43" width="27.109375" style="184" customWidth="1"/>
    <col min="44" max="44" width="29.44140625" style="1" customWidth="1"/>
    <col min="45" max="45" width="32.44140625" style="1" customWidth="1"/>
    <col min="46" max="46" width="30.6640625" style="1" customWidth="1"/>
    <col min="47" max="47" width="33.6640625" style="184" customWidth="1"/>
    <col min="48" max="48" width="33.33203125" style="184" customWidth="1"/>
    <col min="49" max="49" width="31.6640625" style="184" customWidth="1"/>
    <col min="50" max="50" width="42.44140625" style="184" customWidth="1"/>
    <col min="51" max="51" width="40.6640625" style="1" customWidth="1"/>
    <col min="52" max="52" width="35.33203125" style="1" customWidth="1"/>
    <col min="53" max="53" width="33.6640625" style="1" customWidth="1"/>
    <col min="54" max="54" width="28.6640625" style="184" customWidth="1"/>
    <col min="55" max="55" width="27.109375" style="1" customWidth="1"/>
    <col min="56" max="56" width="34.6640625" style="184" customWidth="1"/>
    <col min="57" max="57" width="33.109375" style="184" customWidth="1"/>
    <col min="58" max="58" width="16.6640625" style="182" customWidth="1"/>
    <col min="59" max="59" width="41.44140625" style="1" customWidth="1"/>
    <col min="60" max="60" width="22" style="1" bestFit="1" customWidth="1"/>
    <col min="61" max="61" width="28.44140625" style="1" bestFit="1" customWidth="1"/>
    <col min="62" max="62" width="21.44140625" style="1" bestFit="1" customWidth="1"/>
    <col min="63" max="63" width="32" style="1" bestFit="1" customWidth="1"/>
    <col min="64" max="64" width="26.5546875" style="1" bestFit="1" customWidth="1"/>
    <col min="65" max="65" width="19.6640625" style="1" bestFit="1" customWidth="1"/>
    <col min="66" max="66" width="37.5546875" style="1" bestFit="1" customWidth="1"/>
    <col min="67" max="67" width="16.6640625" style="1" customWidth="1"/>
    <col min="68" max="68" width="16.6640625" style="183" customWidth="1"/>
    <col min="69" max="69" width="28.109375" style="183" bestFit="1" customWidth="1"/>
    <col min="70" max="70" width="22" style="183" bestFit="1" customWidth="1"/>
    <col min="71" max="71" width="33.44140625" style="1" customWidth="1"/>
    <col min="72" max="72" width="29" style="1" bestFit="1" customWidth="1"/>
    <col min="73" max="73" width="26.44140625" style="183" bestFit="1" customWidth="1"/>
    <col min="74" max="75" width="16.6640625" style="1" customWidth="1"/>
    <col min="76" max="76" width="24.88671875" style="1" bestFit="1" customWidth="1"/>
    <col min="77" max="77" width="16.6640625" style="256" customWidth="1"/>
    <col min="78" max="78" width="19.88671875" style="256" customWidth="1"/>
    <col min="79" max="79" width="16.6640625" style="258" customWidth="1"/>
    <col min="80" max="81" width="16.6640625" style="1" customWidth="1"/>
    <col min="82" max="82" width="16.6640625" style="9" customWidth="1"/>
    <col min="83" max="84" width="16.6640625" style="1" customWidth="1"/>
    <col min="85" max="112" width="11.44140625" style="1" customWidth="1"/>
    <col min="113" max="16384" width="11.44140625" style="1"/>
  </cols>
  <sheetData>
    <row r="1" spans="1:83" s="2" customFormat="1">
      <c r="A1" s="2" t="s">
        <v>45</v>
      </c>
      <c r="B1" s="2" t="s">
        <v>46</v>
      </c>
      <c r="C1" s="2" t="s">
        <v>47</v>
      </c>
      <c r="D1" s="2" t="s">
        <v>48</v>
      </c>
      <c r="E1" s="2" t="s">
        <v>49</v>
      </c>
      <c r="F1" s="260" t="s">
        <v>1</v>
      </c>
      <c r="G1" s="2" t="s">
        <v>50</v>
      </c>
      <c r="H1" s="2" t="s">
        <v>51</v>
      </c>
      <c r="I1" s="2" t="s">
        <v>52</v>
      </c>
      <c r="J1" s="2" t="s">
        <v>0</v>
      </c>
      <c r="K1" s="2" t="s">
        <v>9</v>
      </c>
      <c r="L1" s="2" t="s">
        <v>33</v>
      </c>
      <c r="M1" s="2" t="s">
        <v>34</v>
      </c>
      <c r="N1" s="2" t="s">
        <v>53</v>
      </c>
      <c r="O1" s="2" t="s">
        <v>54</v>
      </c>
      <c r="P1" s="2" t="s">
        <v>31</v>
      </c>
      <c r="Q1" s="2" t="s">
        <v>55</v>
      </c>
      <c r="R1" s="261" t="s">
        <v>366</v>
      </c>
      <c r="S1" s="25" t="s">
        <v>56</v>
      </c>
      <c r="T1" s="257" t="s">
        <v>57</v>
      </c>
      <c r="U1" s="2" t="s">
        <v>58</v>
      </c>
      <c r="V1" s="2" t="s">
        <v>59</v>
      </c>
      <c r="W1" s="261" t="s">
        <v>60</v>
      </c>
      <c r="X1" s="2" t="s">
        <v>61</v>
      </c>
      <c r="Y1" s="2" t="s">
        <v>62</v>
      </c>
      <c r="Z1" s="2" t="s">
        <v>63</v>
      </c>
      <c r="AA1" s="2" t="s">
        <v>64</v>
      </c>
      <c r="AB1" s="261" t="s">
        <v>65</v>
      </c>
      <c r="AC1" s="2" t="s">
        <v>66</v>
      </c>
      <c r="AD1" s="2" t="s">
        <v>67</v>
      </c>
      <c r="AE1" s="2" t="s">
        <v>68</v>
      </c>
      <c r="AF1" s="2" t="s">
        <v>69</v>
      </c>
      <c r="AG1" s="25" t="s">
        <v>70</v>
      </c>
      <c r="AH1" s="25" t="s">
        <v>71</v>
      </c>
      <c r="AI1" s="2" t="s">
        <v>72</v>
      </c>
      <c r="AJ1" s="185" t="s">
        <v>77</v>
      </c>
      <c r="AK1" s="2" t="s">
        <v>78</v>
      </c>
      <c r="AL1" s="185" t="s">
        <v>163</v>
      </c>
      <c r="AM1" s="2" t="s">
        <v>164</v>
      </c>
      <c r="AN1" s="2" t="s">
        <v>165</v>
      </c>
      <c r="AO1" s="2" t="s">
        <v>166</v>
      </c>
      <c r="AP1" s="185" t="s">
        <v>155</v>
      </c>
      <c r="AQ1" s="185" t="s">
        <v>156</v>
      </c>
      <c r="AR1" s="2" t="s">
        <v>167</v>
      </c>
      <c r="AS1" s="2" t="s">
        <v>168</v>
      </c>
      <c r="AT1" s="2" t="s">
        <v>73</v>
      </c>
      <c r="AU1" s="185" t="s">
        <v>74</v>
      </c>
      <c r="AV1" s="185" t="s">
        <v>75</v>
      </c>
      <c r="AW1" s="185" t="s">
        <v>76</v>
      </c>
      <c r="AX1" s="185" t="s">
        <v>169</v>
      </c>
      <c r="AY1" s="2" t="s">
        <v>170</v>
      </c>
      <c r="AZ1" s="2" t="s">
        <v>79</v>
      </c>
      <c r="BA1" s="2" t="s">
        <v>80</v>
      </c>
      <c r="BB1" s="185" t="s">
        <v>171</v>
      </c>
      <c r="BC1" s="2" t="s">
        <v>172</v>
      </c>
      <c r="BD1" s="185" t="s">
        <v>173</v>
      </c>
      <c r="BE1" s="185" t="s">
        <v>174</v>
      </c>
      <c r="BF1" s="26" t="s">
        <v>81</v>
      </c>
      <c r="BG1" s="2" t="s">
        <v>82</v>
      </c>
      <c r="BH1" s="2" t="s">
        <v>83</v>
      </c>
      <c r="BI1" s="2" t="s">
        <v>84</v>
      </c>
      <c r="BJ1" s="2" t="s">
        <v>85</v>
      </c>
      <c r="BK1" s="2" t="s">
        <v>86</v>
      </c>
      <c r="BL1" s="2" t="s">
        <v>87</v>
      </c>
      <c r="BM1" s="2" t="s">
        <v>88</v>
      </c>
      <c r="BN1" s="2" t="s">
        <v>89</v>
      </c>
      <c r="BO1" s="2" t="s">
        <v>90</v>
      </c>
      <c r="BP1" s="259" t="s">
        <v>91</v>
      </c>
      <c r="BQ1" s="259" t="s">
        <v>96</v>
      </c>
      <c r="BR1" s="259" t="s">
        <v>175</v>
      </c>
      <c r="BS1" s="2" t="s">
        <v>92</v>
      </c>
      <c r="BT1" s="2" t="s">
        <v>93</v>
      </c>
      <c r="BU1" s="259" t="s">
        <v>176</v>
      </c>
      <c r="BV1" s="2" t="s">
        <v>94</v>
      </c>
      <c r="BW1" s="2" t="s">
        <v>95</v>
      </c>
      <c r="BX1" s="2" t="s">
        <v>177</v>
      </c>
      <c r="BY1" s="256" t="s">
        <v>97</v>
      </c>
      <c r="BZ1" s="256" t="s">
        <v>98</v>
      </c>
      <c r="CA1" s="257" t="s">
        <v>99</v>
      </c>
      <c r="CB1" s="2" t="s">
        <v>100</v>
      </c>
      <c r="CC1" s="2" t="s">
        <v>101</v>
      </c>
      <c r="CD1" s="25" t="s">
        <v>102</v>
      </c>
      <c r="CE1" s="2" t="s">
        <v>102</v>
      </c>
    </row>
    <row r="2" spans="1:83">
      <c r="A2" s="2" t="s">
        <v>178</v>
      </c>
      <c r="C2" s="1" t="s">
        <v>140</v>
      </c>
      <c r="E2" s="2" t="s">
        <v>105</v>
      </c>
      <c r="H2" s="1" t="s">
        <v>118</v>
      </c>
      <c r="I2" s="1" t="s">
        <v>119</v>
      </c>
      <c r="J2" s="1" t="s">
        <v>106</v>
      </c>
      <c r="K2" s="1" t="s">
        <v>35</v>
      </c>
      <c r="L2" s="1" t="s">
        <v>120</v>
      </c>
      <c r="O2" s="2" t="s">
        <v>107</v>
      </c>
      <c r="P2" s="1" t="s">
        <v>108</v>
      </c>
      <c r="Q2" s="2" t="s">
        <v>109</v>
      </c>
      <c r="R2" s="261" t="str">
        <f t="shared" ref="R2:R5" si="0">MID(S2,4,2)</f>
        <v>01</v>
      </c>
      <c r="S2" s="25" t="s">
        <v>141</v>
      </c>
      <c r="T2" s="257">
        <v>1558.89</v>
      </c>
      <c r="U2" s="1">
        <v>0.21</v>
      </c>
      <c r="Y2" s="2" t="s">
        <v>139</v>
      </c>
      <c r="Z2" s="1" t="s">
        <v>122</v>
      </c>
      <c r="AA2" s="2" t="s">
        <v>111</v>
      </c>
      <c r="AC2" s="1" t="s">
        <v>123</v>
      </c>
      <c r="AD2" s="1" t="s">
        <v>112</v>
      </c>
      <c r="AE2" s="2" t="s">
        <v>124</v>
      </c>
      <c r="AG2" s="9" t="s">
        <v>142</v>
      </c>
      <c r="AH2" s="25" t="s">
        <v>143</v>
      </c>
      <c r="AI2" s="1">
        <v>0</v>
      </c>
      <c r="AJ2" s="184">
        <v>145.21</v>
      </c>
      <c r="AK2" s="1">
        <v>0</v>
      </c>
      <c r="AL2" s="184">
        <v>145.21</v>
      </c>
      <c r="AM2" s="1">
        <v>0</v>
      </c>
      <c r="AN2" s="1">
        <v>0</v>
      </c>
      <c r="AO2" s="1">
        <v>0</v>
      </c>
      <c r="AP2" s="184">
        <v>0</v>
      </c>
      <c r="AQ2" s="184">
        <v>0</v>
      </c>
      <c r="AR2" s="1">
        <v>0</v>
      </c>
      <c r="AS2" s="1">
        <v>0</v>
      </c>
      <c r="AT2" s="1">
        <v>0</v>
      </c>
      <c r="AU2" s="184">
        <v>51.86</v>
      </c>
      <c r="AV2" s="184">
        <v>1452.08</v>
      </c>
      <c r="AW2" s="184">
        <v>0</v>
      </c>
      <c r="AX2" s="184">
        <v>2834.52</v>
      </c>
      <c r="AY2" s="1">
        <v>0</v>
      </c>
      <c r="AZ2" s="1">
        <v>0</v>
      </c>
      <c r="BA2" s="1">
        <v>0</v>
      </c>
      <c r="BB2" s="184">
        <v>174.25</v>
      </c>
      <c r="BC2" s="1">
        <v>0</v>
      </c>
      <c r="BD2" s="184">
        <v>0</v>
      </c>
      <c r="BE2" s="184">
        <v>0</v>
      </c>
      <c r="BF2" s="182">
        <v>4803.13</v>
      </c>
      <c r="BG2" s="1">
        <v>0</v>
      </c>
      <c r="BH2" s="1">
        <v>0.21</v>
      </c>
      <c r="BI2" s="1">
        <v>0</v>
      </c>
      <c r="BJ2" s="1">
        <v>0</v>
      </c>
      <c r="BK2" s="1">
        <v>0</v>
      </c>
      <c r="BL2" s="1" t="s">
        <v>104</v>
      </c>
      <c r="BM2" s="1" t="s">
        <v>104</v>
      </c>
      <c r="BN2" s="1" t="s">
        <v>104</v>
      </c>
      <c r="BO2" s="1">
        <v>0.21</v>
      </c>
      <c r="BP2" s="183">
        <v>630.77</v>
      </c>
      <c r="BQ2" s="183">
        <v>605.76</v>
      </c>
      <c r="BR2" s="183">
        <v>215</v>
      </c>
      <c r="BS2" s="1">
        <v>0</v>
      </c>
      <c r="BT2" s="1">
        <v>0</v>
      </c>
      <c r="BU2" s="183">
        <v>107.36</v>
      </c>
      <c r="BV2" s="1">
        <v>0</v>
      </c>
      <c r="BW2" s="1">
        <v>0</v>
      </c>
      <c r="BX2" s="1">
        <v>0</v>
      </c>
      <c r="BY2" s="256">
        <v>0</v>
      </c>
      <c r="BZ2" s="256">
        <v>0</v>
      </c>
      <c r="CA2" s="258">
        <v>1558.89</v>
      </c>
      <c r="CB2" s="1">
        <v>0</v>
      </c>
      <c r="CC2" s="1">
        <v>0</v>
      </c>
      <c r="CD2" s="9">
        <v>3244.45</v>
      </c>
    </row>
    <row r="3" spans="1:83">
      <c r="A3" s="2" t="s">
        <v>179</v>
      </c>
      <c r="C3" s="1" t="s">
        <v>144</v>
      </c>
      <c r="E3" s="2" t="s">
        <v>105</v>
      </c>
      <c r="H3" s="1" t="s">
        <v>118</v>
      </c>
      <c r="I3" s="1" t="s">
        <v>119</v>
      </c>
      <c r="J3" s="1" t="s">
        <v>106</v>
      </c>
      <c r="K3" s="1" t="s">
        <v>35</v>
      </c>
      <c r="L3" s="1" t="s">
        <v>120</v>
      </c>
      <c r="O3" s="2" t="s">
        <v>107</v>
      </c>
      <c r="P3" s="1" t="s">
        <v>108</v>
      </c>
      <c r="Q3" s="2" t="s">
        <v>109</v>
      </c>
      <c r="R3" s="261" t="str">
        <f t="shared" si="0"/>
        <v>01</v>
      </c>
      <c r="S3" s="25" t="s">
        <v>145</v>
      </c>
      <c r="T3" s="257">
        <v>1391.81</v>
      </c>
      <c r="U3" s="1">
        <v>0</v>
      </c>
      <c r="Y3" s="2" t="s">
        <v>146</v>
      </c>
      <c r="Z3" s="1" t="s">
        <v>122</v>
      </c>
      <c r="AA3" s="2" t="s">
        <v>111</v>
      </c>
      <c r="AC3" s="1" t="s">
        <v>123</v>
      </c>
      <c r="AD3" s="1" t="s">
        <v>112</v>
      </c>
      <c r="AE3" s="2" t="s">
        <v>124</v>
      </c>
      <c r="AG3" s="9" t="s">
        <v>147</v>
      </c>
      <c r="AH3" s="25" t="s">
        <v>143</v>
      </c>
      <c r="AI3" s="1">
        <v>0</v>
      </c>
      <c r="AJ3" s="184">
        <v>145.21</v>
      </c>
      <c r="AK3" s="1">
        <v>0</v>
      </c>
      <c r="AL3" s="184">
        <v>145.21</v>
      </c>
      <c r="AM3" s="1">
        <v>0</v>
      </c>
      <c r="AN3" s="1">
        <v>0</v>
      </c>
      <c r="AO3" s="1">
        <v>0</v>
      </c>
      <c r="AP3" s="184">
        <v>0</v>
      </c>
      <c r="AQ3" s="184">
        <v>0</v>
      </c>
      <c r="AR3" s="1">
        <v>0</v>
      </c>
      <c r="AS3" s="1">
        <v>0</v>
      </c>
      <c r="AT3" s="1">
        <v>0</v>
      </c>
      <c r="AU3" s="184">
        <v>51.86</v>
      </c>
      <c r="AV3" s="184">
        <v>1452.08</v>
      </c>
      <c r="AW3" s="184">
        <v>0</v>
      </c>
      <c r="AX3" s="184">
        <v>2052.29</v>
      </c>
      <c r="AY3" s="1">
        <v>0</v>
      </c>
      <c r="AZ3" s="1">
        <v>0</v>
      </c>
      <c r="BA3" s="1">
        <v>0</v>
      </c>
      <c r="BB3" s="184">
        <v>174.25</v>
      </c>
      <c r="BC3" s="1">
        <v>0</v>
      </c>
      <c r="BD3" s="184">
        <v>0</v>
      </c>
      <c r="BE3" s="184">
        <v>0</v>
      </c>
      <c r="BF3" s="182">
        <v>4020.9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 t="s">
        <v>104</v>
      </c>
      <c r="BM3" s="1" t="s">
        <v>104</v>
      </c>
      <c r="BN3" s="1" t="s">
        <v>104</v>
      </c>
      <c r="BO3" s="1">
        <v>0</v>
      </c>
      <c r="BP3" s="183">
        <v>463.69</v>
      </c>
      <c r="BQ3" s="183">
        <v>605.76</v>
      </c>
      <c r="BR3" s="183">
        <v>215</v>
      </c>
      <c r="BS3" s="1">
        <v>0</v>
      </c>
      <c r="BT3" s="1">
        <v>0</v>
      </c>
      <c r="BU3" s="183">
        <v>107.36</v>
      </c>
      <c r="BV3" s="1">
        <v>0</v>
      </c>
      <c r="BW3" s="1">
        <v>0</v>
      </c>
      <c r="BX3" s="1">
        <v>0</v>
      </c>
      <c r="BY3" s="256">
        <v>0</v>
      </c>
      <c r="BZ3" s="256">
        <v>0</v>
      </c>
      <c r="CA3" s="258">
        <v>1391.81</v>
      </c>
      <c r="CB3" s="1">
        <v>0</v>
      </c>
      <c r="CC3" s="1">
        <v>0</v>
      </c>
      <c r="CD3" s="9">
        <v>2629.09</v>
      </c>
    </row>
    <row r="4" spans="1:83">
      <c r="A4" s="2" t="s">
        <v>180</v>
      </c>
      <c r="C4" s="1" t="s">
        <v>148</v>
      </c>
      <c r="E4" s="2" t="s">
        <v>105</v>
      </c>
      <c r="H4" s="1" t="s">
        <v>118</v>
      </c>
      <c r="I4" s="1" t="s">
        <v>119</v>
      </c>
      <c r="J4" s="1" t="s">
        <v>106</v>
      </c>
      <c r="K4" s="1" t="s">
        <v>35</v>
      </c>
      <c r="L4" s="1" t="s">
        <v>120</v>
      </c>
      <c r="O4" s="2" t="s">
        <v>107</v>
      </c>
      <c r="P4" s="1" t="s">
        <v>108</v>
      </c>
      <c r="Q4" s="2" t="s">
        <v>109</v>
      </c>
      <c r="R4" s="261" t="str">
        <f t="shared" si="0"/>
        <v>01</v>
      </c>
      <c r="S4" s="25" t="s">
        <v>149</v>
      </c>
      <c r="T4" s="257">
        <v>1349.4</v>
      </c>
      <c r="U4" s="1">
        <v>159.29</v>
      </c>
      <c r="Y4" s="2" t="s">
        <v>137</v>
      </c>
      <c r="Z4" s="1" t="s">
        <v>122</v>
      </c>
      <c r="AA4" s="2" t="s">
        <v>111</v>
      </c>
      <c r="AC4" s="1" t="s">
        <v>123</v>
      </c>
      <c r="AD4" s="1" t="s">
        <v>112</v>
      </c>
      <c r="AE4" s="2" t="s">
        <v>124</v>
      </c>
      <c r="AG4" s="9" t="s">
        <v>150</v>
      </c>
      <c r="AH4" s="25" t="s">
        <v>143</v>
      </c>
      <c r="AI4" s="1">
        <v>0</v>
      </c>
      <c r="AJ4" s="184">
        <v>145.21</v>
      </c>
      <c r="AK4" s="1">
        <v>0</v>
      </c>
      <c r="AL4" s="184">
        <v>145.21</v>
      </c>
      <c r="AM4" s="1">
        <v>0</v>
      </c>
      <c r="AN4" s="1">
        <v>0</v>
      </c>
      <c r="AO4" s="1">
        <v>0</v>
      </c>
      <c r="AP4" s="184">
        <v>0</v>
      </c>
      <c r="AQ4" s="184">
        <v>0</v>
      </c>
      <c r="AR4" s="1">
        <v>0</v>
      </c>
      <c r="AS4" s="1">
        <v>0</v>
      </c>
      <c r="AT4" s="1">
        <v>0</v>
      </c>
      <c r="AU4" s="184">
        <v>51.86</v>
      </c>
      <c r="AV4" s="184">
        <v>1452.08</v>
      </c>
      <c r="AW4" s="184">
        <v>0</v>
      </c>
      <c r="AX4" s="184">
        <v>1852.84</v>
      </c>
      <c r="AY4" s="1">
        <v>0</v>
      </c>
      <c r="AZ4" s="1">
        <v>0</v>
      </c>
      <c r="BA4" s="1">
        <v>0</v>
      </c>
      <c r="BB4" s="184">
        <v>174.25</v>
      </c>
      <c r="BC4" s="1">
        <v>0</v>
      </c>
      <c r="BD4" s="184">
        <v>0</v>
      </c>
      <c r="BE4" s="184">
        <v>0</v>
      </c>
      <c r="BF4" s="182">
        <v>3821.45</v>
      </c>
      <c r="BG4" s="1">
        <v>0</v>
      </c>
      <c r="BH4" s="1">
        <v>0</v>
      </c>
      <c r="BI4" s="1">
        <v>0</v>
      </c>
      <c r="BJ4" s="1">
        <v>159.29</v>
      </c>
      <c r="BK4" s="1">
        <v>0</v>
      </c>
      <c r="BL4" s="1">
        <v>159.29</v>
      </c>
      <c r="BM4" s="1" t="s">
        <v>138</v>
      </c>
      <c r="BN4" s="1">
        <v>0</v>
      </c>
      <c r="BO4" s="1">
        <v>159.29</v>
      </c>
      <c r="BP4" s="183">
        <v>421.09</v>
      </c>
      <c r="BQ4" s="183">
        <v>605.95000000000005</v>
      </c>
      <c r="BR4" s="183">
        <v>215</v>
      </c>
      <c r="BS4" s="1">
        <v>0</v>
      </c>
      <c r="BT4" s="1">
        <v>0</v>
      </c>
      <c r="BU4" s="183">
        <v>107.36</v>
      </c>
      <c r="BV4" s="1">
        <v>0</v>
      </c>
      <c r="BW4" s="1">
        <v>0</v>
      </c>
      <c r="BX4" s="1">
        <v>0</v>
      </c>
      <c r="BY4" s="256">
        <v>0</v>
      </c>
      <c r="BZ4" s="256">
        <v>0</v>
      </c>
      <c r="CA4" s="258">
        <v>1349.4</v>
      </c>
      <c r="CB4" s="1">
        <v>0</v>
      </c>
      <c r="CC4" s="1">
        <v>0</v>
      </c>
      <c r="CD4" s="9">
        <v>2631.3399999999997</v>
      </c>
    </row>
    <row r="5" spans="1:83">
      <c r="A5" s="2" t="s">
        <v>181</v>
      </c>
      <c r="C5" s="1" t="s">
        <v>151</v>
      </c>
      <c r="E5" s="2" t="s">
        <v>105</v>
      </c>
      <c r="H5" s="1" t="s">
        <v>118</v>
      </c>
      <c r="I5" s="1" t="s">
        <v>119</v>
      </c>
      <c r="J5" s="1" t="s">
        <v>106</v>
      </c>
      <c r="K5" s="1" t="s">
        <v>35</v>
      </c>
      <c r="L5" s="1" t="s">
        <v>120</v>
      </c>
      <c r="O5" s="2" t="s">
        <v>107</v>
      </c>
      <c r="P5" s="1" t="s">
        <v>108</v>
      </c>
      <c r="Q5" s="2" t="s">
        <v>109</v>
      </c>
      <c r="R5" s="261" t="str">
        <f t="shared" si="0"/>
        <v>01</v>
      </c>
      <c r="S5" s="25" t="s">
        <v>152</v>
      </c>
      <c r="T5" s="257">
        <v>1338.53</v>
      </c>
      <c r="U5" s="1">
        <v>0</v>
      </c>
      <c r="Y5" s="2" t="s">
        <v>153</v>
      </c>
      <c r="Z5" s="1" t="s">
        <v>122</v>
      </c>
      <c r="AA5" s="2" t="s">
        <v>111</v>
      </c>
      <c r="AC5" s="1" t="s">
        <v>123</v>
      </c>
      <c r="AD5" s="1" t="s">
        <v>112</v>
      </c>
      <c r="AE5" s="2" t="s">
        <v>124</v>
      </c>
      <c r="AG5" s="9" t="s">
        <v>154</v>
      </c>
      <c r="AH5" s="25" t="s">
        <v>143</v>
      </c>
      <c r="AI5" s="1">
        <v>0</v>
      </c>
      <c r="AJ5" s="184">
        <v>145.21</v>
      </c>
      <c r="AK5" s="1">
        <v>0</v>
      </c>
      <c r="AL5" s="184">
        <v>145.21</v>
      </c>
      <c r="AM5" s="1">
        <v>0</v>
      </c>
      <c r="AN5" s="1">
        <v>0</v>
      </c>
      <c r="AO5" s="1">
        <v>0</v>
      </c>
      <c r="AP5" s="184">
        <v>0</v>
      </c>
      <c r="AQ5" s="184">
        <v>0</v>
      </c>
      <c r="AR5" s="1">
        <v>0</v>
      </c>
      <c r="AS5" s="1">
        <v>0</v>
      </c>
      <c r="AT5" s="1">
        <v>0</v>
      </c>
      <c r="AU5" s="184">
        <v>0</v>
      </c>
      <c r="AV5" s="184">
        <v>1659.52</v>
      </c>
      <c r="AW5" s="184">
        <v>207.44</v>
      </c>
      <c r="AX5" s="184">
        <v>1689.2</v>
      </c>
      <c r="AY5" s="1">
        <v>0</v>
      </c>
      <c r="AZ5" s="1">
        <v>0</v>
      </c>
      <c r="BA5" s="1">
        <v>0</v>
      </c>
      <c r="BB5" s="184">
        <v>174.25</v>
      </c>
      <c r="BC5" s="1">
        <v>0</v>
      </c>
      <c r="BD5" s="184">
        <v>0</v>
      </c>
      <c r="BE5" s="184">
        <v>0</v>
      </c>
      <c r="BF5" s="182">
        <v>4020.83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 t="s">
        <v>104</v>
      </c>
      <c r="BM5" s="1" t="s">
        <v>104</v>
      </c>
      <c r="BN5" s="1" t="s">
        <v>104</v>
      </c>
      <c r="BO5" s="1">
        <v>0</v>
      </c>
      <c r="BP5" s="183">
        <v>430.44</v>
      </c>
      <c r="BQ5" s="183">
        <v>603.91999999999996</v>
      </c>
      <c r="BR5" s="183">
        <v>215</v>
      </c>
      <c r="BS5" s="1">
        <v>0</v>
      </c>
      <c r="BT5" s="1">
        <v>0</v>
      </c>
      <c r="BU5" s="183">
        <v>89.17</v>
      </c>
      <c r="BV5" s="1">
        <v>0</v>
      </c>
      <c r="BW5" s="1">
        <v>0</v>
      </c>
      <c r="BX5" s="1">
        <v>0</v>
      </c>
      <c r="BY5" s="256">
        <v>0</v>
      </c>
      <c r="BZ5" s="256">
        <v>0</v>
      </c>
      <c r="CA5" s="258">
        <v>1338.53</v>
      </c>
      <c r="CB5" s="1">
        <v>0</v>
      </c>
      <c r="CC5" s="1">
        <v>0</v>
      </c>
      <c r="CD5" s="9">
        <v>2682.3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A1:I54"/>
  <sheetViews>
    <sheetView showGridLines="0" topLeftCell="G1" workbookViewId="0">
      <selection activeCell="I1" sqref="I1:S1048576"/>
    </sheetView>
  </sheetViews>
  <sheetFormatPr baseColWidth="10" defaultColWidth="48.33203125" defaultRowHeight="12"/>
  <cols>
    <col min="1" max="1" width="13" style="13" hidden="1" customWidth="1"/>
    <col min="2" max="2" width="20" style="11" hidden="1" customWidth="1"/>
    <col min="3" max="3" width="10.44140625" style="13" hidden="1" customWidth="1"/>
    <col min="4" max="5" width="5.6640625" style="13" hidden="1" customWidth="1"/>
    <col min="6" max="6" width="19.109375" style="112" hidden="1" customWidth="1"/>
    <col min="7" max="7" width="35.6640625" style="192" customWidth="1"/>
    <col min="8" max="8" width="11.5546875" style="192" bestFit="1" customWidth="1"/>
    <col min="9" max="9" width="11.5546875" style="255" bestFit="1" customWidth="1"/>
    <col min="10" max="16384" width="48.33203125" style="192"/>
  </cols>
  <sheetData>
    <row r="1" spans="1:9" s="12" customFormat="1">
      <c r="B1" s="10"/>
      <c r="F1" s="111"/>
      <c r="G1" s="186" t="s">
        <v>157</v>
      </c>
      <c r="H1" s="187"/>
      <c r="I1" s="188" t="s">
        <v>362</v>
      </c>
    </row>
    <row r="2" spans="1:9">
      <c r="G2" s="189">
        <v>605</v>
      </c>
      <c r="H2" s="190"/>
      <c r="I2" s="191">
        <v>248.93</v>
      </c>
    </row>
    <row r="3" spans="1:9" ht="2.1" customHeight="1">
      <c r="G3" s="193"/>
      <c r="H3" s="194"/>
      <c r="I3" s="196"/>
    </row>
    <row r="4" spans="1:9" ht="18.75" customHeight="1">
      <c r="A4" s="109"/>
      <c r="B4" s="109"/>
      <c r="C4" s="109"/>
      <c r="D4" s="109"/>
      <c r="E4" s="109"/>
      <c r="G4" s="197"/>
      <c r="H4" s="358" t="s">
        <v>29</v>
      </c>
      <c r="I4" s="198"/>
    </row>
    <row r="5" spans="1:9">
      <c r="A5" s="109"/>
      <c r="B5" s="109"/>
      <c r="C5" s="109"/>
      <c r="D5" s="267">
        <f>IFERROR(+D7/I2,0)</f>
      </c>
      <c r="E5" s="109"/>
      <c r="G5" s="199"/>
      <c r="H5" s="200">
        <v>1</v>
      </c>
      <c r="I5" s="201" t="s">
        <v>39</v>
      </c>
    </row>
    <row r="6" spans="1:9" s="204" customFormat="1">
      <c r="A6" s="22" t="s">
        <v>40</v>
      </c>
      <c r="B6" s="22" t="s">
        <v>41</v>
      </c>
      <c r="C6" s="22" t="s">
        <v>42</v>
      </c>
      <c r="D6" s="22" t="s">
        <v>44</v>
      </c>
      <c r="E6" s="22" t="s">
        <v>43</v>
      </c>
      <c r="F6" s="354" t="s">
        <v>158</v>
      </c>
      <c r="G6" s="202" t="s">
        <v>2</v>
      </c>
      <c r="H6" s="203" t="s">
        <v>20</v>
      </c>
      <c r="I6" s="198"/>
    </row>
    <row r="7" spans="1:9">
      <c r="A7" s="344">
        <f>+fabi!$F$2</f>
      </c>
      <c r="B7" s="23">
        <f>+fabi!$W$2</f>
      </c>
      <c r="C7" s="24">
        <f>+fabi!$X$2</f>
      </c>
      <c r="D7" s="24">
        <f>+fabi!$AH$2</f>
      </c>
      <c r="E7" s="24">
        <f>+fabi!$AG$2</f>
      </c>
      <c r="F7" s="355" t="s">
        <v>121</v>
      </c>
      <c r="G7" s="356" t="s">
        <v>117</v>
      </c>
      <c r="H7" s="205">
        <f>SUM(H8:H20)</f>
        <v>16666.310000000001</v>
      </c>
      <c r="I7" s="206">
        <f t="shared" ref="I7" si="0">SUM(I8:I20)</f>
        <v>16666.310000000001</v>
      </c>
    </row>
    <row r="8" spans="1:9">
      <c r="A8" s="118"/>
      <c r="B8" s="353"/>
      <c r="C8" s="120"/>
      <c r="D8" s="120"/>
      <c r="E8" s="120"/>
      <c r="F8" s="113"/>
      <c r="G8" s="207" t="s">
        <v>380</v>
      </c>
      <c r="H8" s="208">
        <f>SUMIF(fabi!$R:$R,ingresos!H$5,fabi!AJ:$AJ)</f>
        <v>580.84</v>
      </c>
      <c r="I8" s="209">
        <f t="shared" ref="I8:I22" si="1">SUM(H8:H8)</f>
        <v>580.84</v>
      </c>
    </row>
    <row r="9" spans="1:9">
      <c r="A9" s="118"/>
      <c r="B9" s="119"/>
      <c r="C9" s="120"/>
      <c r="D9" s="120"/>
      <c r="E9" s="120"/>
      <c r="F9" s="113"/>
      <c r="G9" s="207" t="s">
        <v>381</v>
      </c>
      <c r="H9" s="208">
        <f>SUMIF(fabi!$R:$R,ingresos!H$5,fabi!AL:$AL)</f>
        <v>580.84</v>
      </c>
      <c r="I9" s="209">
        <f t="shared" si="1"/>
        <v>580.84</v>
      </c>
    </row>
    <row r="10" spans="1:9">
      <c r="A10" s="118"/>
      <c r="B10" s="119"/>
      <c r="C10" s="120"/>
      <c r="D10" s="120"/>
      <c r="E10" s="120"/>
      <c r="F10" s="113"/>
      <c r="G10" s="348" t="s">
        <v>382</v>
      </c>
      <c r="H10" s="208">
        <f>SUMIF(fabi!$R:$R,ingresos!H$5,fabi!AN:$AN)</f>
        <v>0</v>
      </c>
      <c r="I10" s="209">
        <f t="shared" si="1"/>
        <v>0</v>
      </c>
    </row>
    <row r="11" spans="1:9">
      <c r="A11" s="118"/>
      <c r="B11" s="119"/>
      <c r="C11" s="120"/>
      <c r="D11" s="120"/>
      <c r="E11" s="120"/>
      <c r="F11" s="113"/>
      <c r="G11" s="348" t="s">
        <v>383</v>
      </c>
      <c r="H11" s="208">
        <f>SUMIF(fabi!$R:$R,ingresos!H$5,fabi!AO:$AO)</f>
        <v>0</v>
      </c>
      <c r="I11" s="209">
        <f t="shared" si="1"/>
        <v>0</v>
      </c>
    </row>
    <row r="12" spans="1:9">
      <c r="A12" s="118"/>
      <c r="B12" s="119"/>
      <c r="C12" s="120"/>
      <c r="D12" s="120"/>
      <c r="E12" s="120"/>
      <c r="F12" s="113"/>
      <c r="G12" s="348" t="s">
        <v>384</v>
      </c>
      <c r="H12" s="208">
        <f>SUMIF(fabi!$R:$R,ingresos!H$5,fabi!AP:$AP)</f>
        <v>0</v>
      </c>
      <c r="I12" s="209">
        <f t="shared" si="1"/>
        <v>0</v>
      </c>
    </row>
    <row r="13" spans="1:9">
      <c r="A13" s="110"/>
      <c r="B13" s="117"/>
      <c r="C13" s="110"/>
      <c r="D13" s="110"/>
      <c r="E13" s="110"/>
      <c r="F13" s="114"/>
      <c r="G13" s="349" t="s">
        <v>385</v>
      </c>
      <c r="H13" s="211">
        <f>SUMIF(fabi!$R:$R,ingresos!H$5,fabi!AQ:$AQ)</f>
        <v>0</v>
      </c>
      <c r="I13" s="212">
        <f t="shared" si="1"/>
        <v>0</v>
      </c>
    </row>
    <row r="14" spans="1:9">
      <c r="A14" s="110"/>
      <c r="B14" s="117"/>
      <c r="C14" s="110"/>
      <c r="D14" s="110"/>
      <c r="E14" s="110"/>
      <c r="F14" s="114"/>
      <c r="G14" s="210" t="s">
        <v>386</v>
      </c>
      <c r="H14" s="211">
        <f>SUMIF(fabi!$R:$R,ingresos!H$5,fabi!AU:$AU)</f>
        <v>155.57999999999998</v>
      </c>
      <c r="I14" s="212">
        <f t="shared" si="1"/>
        <v>155.57999999999998</v>
      </c>
    </row>
    <row r="15" spans="1:9">
      <c r="A15" s="110"/>
      <c r="B15" s="117"/>
      <c r="C15" s="110"/>
      <c r="D15" s="110"/>
      <c r="E15" s="110"/>
      <c r="F15" s="114"/>
      <c r="G15" s="210" t="s">
        <v>388</v>
      </c>
      <c r="H15" s="211">
        <f>SUMIF(fabi!$R:$R,ingresos!H$5,fabi!AV:$AV)</f>
        <v>6015.76</v>
      </c>
      <c r="I15" s="212">
        <f t="shared" si="1"/>
        <v>6015.76</v>
      </c>
    </row>
    <row r="16" spans="1:9">
      <c r="A16" s="110"/>
      <c r="B16" s="117"/>
      <c r="C16" s="110"/>
      <c r="D16" s="110"/>
      <c r="E16" s="110"/>
      <c r="F16" s="114"/>
      <c r="G16" s="210" t="s">
        <v>387</v>
      </c>
      <c r="H16" s="211">
        <f>SUMIF(fabi!$R:$R,ingresos!H$5,fabi!AW:$AW)</f>
        <v>207.44</v>
      </c>
      <c r="I16" s="212">
        <f t="shared" si="1"/>
        <v>207.44</v>
      </c>
    </row>
    <row r="17" spans="1:9">
      <c r="A17" s="110"/>
      <c r="B17" s="117"/>
      <c r="C17" s="110"/>
      <c r="D17" s="110"/>
      <c r="E17" s="110"/>
      <c r="F17" s="114"/>
      <c r="G17" s="359" t="s">
        <v>389</v>
      </c>
      <c r="H17" s="360">
        <f>SUMIF(fabi!$R:$R,ingresos!H$5,fabi!AX:$AX)</f>
        <v>8428.85</v>
      </c>
      <c r="I17" s="361">
        <f t="shared" si="1"/>
        <v>8428.85</v>
      </c>
    </row>
    <row r="18" spans="1:9">
      <c r="A18" s="110"/>
      <c r="B18" s="117"/>
      <c r="C18" s="110"/>
      <c r="D18" s="110"/>
      <c r="E18" s="110"/>
      <c r="F18" s="114"/>
      <c r="G18" s="210" t="s">
        <v>390</v>
      </c>
      <c r="H18" s="211">
        <f>SUMIF(fabi!$R:$R,ingresos!H$5,fabi!BB:$BB)</f>
        <v>697</v>
      </c>
      <c r="I18" s="212">
        <f t="shared" si="1"/>
        <v>697</v>
      </c>
    </row>
    <row r="19" spans="1:9">
      <c r="A19" s="110"/>
      <c r="B19" s="117"/>
      <c r="C19" s="110"/>
      <c r="D19" s="110"/>
      <c r="E19" s="110"/>
      <c r="F19" s="114"/>
      <c r="G19" s="349" t="s">
        <v>391</v>
      </c>
      <c r="H19" s="211">
        <f>SUMIF(fabi!$R:$R,ingresos!H$5,fabi!BD:$BD)</f>
        <v>0</v>
      </c>
      <c r="I19" s="212">
        <f t="shared" si="1"/>
        <v>0</v>
      </c>
    </row>
    <row r="20" spans="1:9">
      <c r="A20" s="110"/>
      <c r="B20" s="117"/>
      <c r="C20" s="110"/>
      <c r="D20" s="110"/>
      <c r="E20" s="110"/>
      <c r="F20" s="114"/>
      <c r="G20" s="349" t="s">
        <v>392</v>
      </c>
      <c r="H20" s="211">
        <f>SUMIF(fabi!$R:$R,ingresos!H$5,fabi!BE:$BE)</f>
        <v>0</v>
      </c>
      <c r="I20" s="212">
        <f t="shared" si="1"/>
        <v>0</v>
      </c>
    </row>
    <row r="21" spans="1:9">
      <c r="G21" s="210" t="s">
        <v>393</v>
      </c>
      <c r="H21" s="211">
        <f>SUMIF(fabi!$R:$R,ingresos!H$5,fabi!BF:$BF)</f>
        <v>16666.309999999998</v>
      </c>
      <c r="I21" s="212">
        <f t="shared" si="1"/>
        <v>16666.309999999998</v>
      </c>
    </row>
    <row r="22" spans="1:9" s="215" customFormat="1">
      <c r="A22" s="12"/>
      <c r="B22" s="10"/>
      <c r="C22" s="12"/>
      <c r="D22" s="12"/>
      <c r="E22" s="12"/>
      <c r="F22" s="111"/>
      <c r="G22" s="213" t="s">
        <v>28</v>
      </c>
      <c r="H22" s="214">
        <f>+H7</f>
        <v>16666.310000000001</v>
      </c>
      <c r="I22" s="214">
        <f t="shared" si="1"/>
        <v>16666.310000000001</v>
      </c>
    </row>
    <row r="23" spans="1:9" s="215" customFormat="1">
      <c r="A23" s="12"/>
      <c r="B23" s="10"/>
      <c r="C23" s="12"/>
      <c r="D23" s="12"/>
      <c r="E23" s="12"/>
      <c r="F23" s="111"/>
      <c r="G23" s="356" t="str">
        <f>+G7</f>
        <v>FABIOLA PONCE GARCIA</v>
      </c>
      <c r="H23" s="216">
        <f>SUM(H24:H27)</f>
        <v>4778.63</v>
      </c>
      <c r="I23" s="206">
        <f t="shared" ref="I23" si="2">SUM(I24:I27)</f>
        <v>4778.63</v>
      </c>
    </row>
    <row r="24" spans="1:9" s="220" customFormat="1">
      <c r="A24" s="18"/>
      <c r="B24" s="19"/>
      <c r="C24" s="18"/>
      <c r="D24" s="18"/>
      <c r="E24" s="18"/>
      <c r="F24" s="112"/>
      <c r="G24" s="217" t="s">
        <v>159</v>
      </c>
      <c r="H24" s="218">
        <f>SUMIF(fabi!$R:$R,ingresos!H$5,fabi!BU:$BU)</f>
        <v>411.25</v>
      </c>
      <c r="I24" s="219">
        <f t="shared" ref="I24:I29" si="3">SUM(H24:H24)</f>
        <v>411.25</v>
      </c>
    </row>
    <row r="25" spans="1:9" s="220" customFormat="1">
      <c r="A25" s="18"/>
      <c r="B25" s="19"/>
      <c r="C25" s="18"/>
      <c r="D25" s="18"/>
      <c r="E25" s="18"/>
      <c r="F25" s="112"/>
      <c r="G25" s="270" t="s">
        <v>394</v>
      </c>
      <c r="H25" s="271">
        <f>SUMIF(fabi!$R:$R,ingresos!H$5,fabi!BQ:$BQ)</f>
        <v>2421.39</v>
      </c>
      <c r="I25" s="272">
        <f t="shared" si="3"/>
        <v>2421.39</v>
      </c>
    </row>
    <row r="26" spans="1:9" s="223" customFormat="1">
      <c r="A26" s="20"/>
      <c r="B26" s="21"/>
      <c r="C26" s="20"/>
      <c r="D26" s="20"/>
      <c r="E26" s="20"/>
      <c r="F26" s="111"/>
      <c r="G26" s="350" t="s">
        <v>160</v>
      </c>
      <c r="H26" s="346">
        <f>SUMIF(fabi!$R:$R,ingresos!H$5,fabi!BP:$BP)</f>
        <v>1945.99</v>
      </c>
      <c r="I26" s="272">
        <f t="shared" si="3"/>
        <v>1945.99</v>
      </c>
    </row>
    <row r="27" spans="1:9" s="223" customFormat="1">
      <c r="A27" s="20"/>
      <c r="B27" s="21"/>
      <c r="C27" s="20"/>
      <c r="D27" s="20"/>
      <c r="E27" s="20"/>
      <c r="F27" s="111"/>
      <c r="G27" s="221" t="s">
        <v>161</v>
      </c>
      <c r="H27" s="222">
        <f>SUMIF(fabi!$R:$R,ingresos!H$5,fabi!BX:$BX)</f>
        <v>0</v>
      </c>
      <c r="I27" s="219">
        <f t="shared" si="3"/>
        <v>0</v>
      </c>
    </row>
    <row r="28" spans="1:9" s="223" customFormat="1">
      <c r="A28" s="20"/>
      <c r="B28" s="21"/>
      <c r="C28" s="20"/>
      <c r="D28" s="20"/>
      <c r="E28" s="20"/>
      <c r="F28" s="111"/>
      <c r="G28" s="217" t="s">
        <v>395</v>
      </c>
      <c r="H28" s="218">
        <f>+H29-H23</f>
        <v>860</v>
      </c>
      <c r="I28" s="219">
        <f t="shared" si="3"/>
        <v>860</v>
      </c>
    </row>
    <row r="29" spans="1:9" s="220" customFormat="1">
      <c r="A29" s="18"/>
      <c r="B29" s="19"/>
      <c r="C29" s="18"/>
      <c r="D29" s="18"/>
      <c r="E29" s="18"/>
      <c r="F29" s="112"/>
      <c r="G29" s="217" t="s">
        <v>99</v>
      </c>
      <c r="H29" s="218">
        <f>SUMIF(fabi!$R:$R,ingresos!H$5,fabi!CA:$CA)</f>
        <v>5638.63</v>
      </c>
      <c r="I29" s="219">
        <f t="shared" si="3"/>
        <v>5638.63</v>
      </c>
    </row>
    <row r="30" spans="1:9" s="215" customFormat="1">
      <c r="A30" s="12"/>
      <c r="B30" s="10"/>
      <c r="C30" s="12"/>
      <c r="D30" s="12"/>
      <c r="E30" s="12"/>
      <c r="F30" s="111"/>
      <c r="G30" s="213" t="s">
        <v>3</v>
      </c>
      <c r="H30" s="214">
        <f>SUM(H24:H28)</f>
        <v>5638.63</v>
      </c>
      <c r="I30" s="214">
        <f t="shared" ref="I30" si="4">SUM(I24:I28)</f>
        <v>5638.63</v>
      </c>
    </row>
    <row r="31" spans="1:9" s="215" customFormat="1">
      <c r="A31" s="12"/>
      <c r="B31" s="10"/>
      <c r="C31" s="12"/>
      <c r="D31" s="12"/>
      <c r="E31" s="12"/>
      <c r="F31" s="111"/>
      <c r="G31" s="193"/>
      <c r="H31" s="224"/>
      <c r="I31" s="196"/>
    </row>
    <row r="32" spans="1:9" s="227" customFormat="1" ht="39.9" customHeight="1">
      <c r="A32" s="12"/>
      <c r="B32" s="12"/>
      <c r="C32" s="12"/>
      <c r="D32" s="12"/>
      <c r="E32" s="12"/>
      <c r="F32" s="111"/>
      <c r="G32" s="225" t="s">
        <v>361</v>
      </c>
      <c r="H32" s="226">
        <f t="shared" ref="H32" si="5">+H$22-H$30</f>
        <v>11027.68</v>
      </c>
      <c r="I32" s="226">
        <f>SUM(H32:H32)</f>
        <v>11027.68</v>
      </c>
    </row>
    <row r="33" spans="1:9" s="215" customFormat="1" ht="18.75" customHeight="1">
      <c r="A33" s="12"/>
      <c r="B33" s="10"/>
      <c r="C33" s="12"/>
      <c r="D33" s="12"/>
      <c r="E33" s="12"/>
      <c r="F33" s="111"/>
      <c r="G33" s="357" t="str">
        <f>+G23</f>
        <v>FABIOLA PONCE GARCIA</v>
      </c>
      <c r="H33" s="228">
        <f>+H7-H30</f>
        <v>11027.68</v>
      </c>
      <c r="I33" s="362">
        <f>SUM(H33:H33)</f>
        <v>11027.68</v>
      </c>
    </row>
    <row r="34" spans="1:9" hidden="1">
      <c r="G34" s="229" t="s">
        <v>4</v>
      </c>
      <c r="H34" s="208">
        <f>IFERROR(VLOOKUP(H32,tarifa,1),0)</f>
      </c>
      <c r="I34" s="209"/>
    </row>
    <row r="35" spans="1:9" hidden="1">
      <c r="G35" s="229" t="s">
        <v>4</v>
      </c>
      <c r="H35" s="208">
        <f>IFERROR(VLOOKUP(H34,tarifa,1),0)</f>
      </c>
      <c r="I35" s="209"/>
    </row>
    <row r="36" spans="1:9" s="215" customFormat="1" hidden="1">
      <c r="A36" s="12"/>
      <c r="B36" s="10"/>
      <c r="C36" s="12"/>
      <c r="D36" s="12"/>
      <c r="E36" s="12"/>
      <c r="F36" s="111"/>
      <c r="G36" s="210" t="s">
        <v>5</v>
      </c>
      <c r="H36" s="230">
        <f t="shared" ref="H36" si="8">+H32-H34+H35</f>
        <v>11027.68</v>
      </c>
      <c r="I36" s="212"/>
    </row>
    <row r="37" spans="1:9" hidden="1">
      <c r="G37" s="231" t="s">
        <v>14</v>
      </c>
      <c r="H37" s="225">
        <f>IFERROR(VLOOKUP(H32,tarifa,4),0)</f>
      </c>
      <c r="I37" s="232"/>
    </row>
    <row r="38" spans="1:9" hidden="1">
      <c r="G38" s="233"/>
      <c r="H38" s="234">
        <f>IFERROR(+H37/100,0)</f>
      </c>
      <c r="I38" s="235"/>
    </row>
    <row r="39" spans="1:9" hidden="1">
      <c r="G39" s="229" t="s">
        <v>6</v>
      </c>
      <c r="H39" s="208">
        <f t="shared" ref="H39" si="11">+H36*H38</f>
        <v>110.27680000000001</v>
      </c>
      <c r="I39" s="209"/>
    </row>
    <row r="40" spans="1:9" hidden="1">
      <c r="G40" s="236" t="s">
        <v>7</v>
      </c>
      <c r="H40" s="211">
        <f>IFERROR(VLOOKUP(H32,tarifa,3),0)</f>
      </c>
      <c r="I40" s="212"/>
    </row>
    <row r="41" spans="1:9" hidden="1">
      <c r="G41" s="237" t="s">
        <v>8</v>
      </c>
      <c r="H41" s="238">
        <f>+H39+H40</f>
        <v>110.27680000000001</v>
      </c>
      <c r="I41" s="232">
        <f>SUM(H41:H41)</f>
        <v>110.27680000000001</v>
      </c>
    </row>
    <row r="42" spans="1:9" hidden="1">
      <c r="B42" s="14"/>
      <c r="C42" s="16"/>
      <c r="D42" s="16"/>
      <c r="E42" s="16"/>
      <c r="F42" s="115"/>
      <c r="G42" s="237" t="s">
        <v>32</v>
      </c>
      <c r="H42" s="238"/>
      <c r="I42" s="232">
        <f>SUM(H42:H42)</f>
        <v>0</v>
      </c>
    </row>
    <row r="43" spans="1:9" hidden="1">
      <c r="G43" s="240" t="s">
        <v>15</v>
      </c>
      <c r="H43" s="241">
        <f>+H41-H42</f>
        <v>110.27680000000001</v>
      </c>
      <c r="I43" s="232">
        <f>SUM(H43:H43)</f>
        <v>110.27680000000001</v>
      </c>
    </row>
    <row r="44" spans="1:9" hidden="1">
      <c r="G44" s="242"/>
      <c r="H44" s="243"/>
      <c r="I44" s="196"/>
    </row>
    <row r="45" spans="1:9" s="215" customFormat="1" hidden="1">
      <c r="A45" s="12"/>
      <c r="B45" s="10"/>
      <c r="C45" s="12"/>
      <c r="D45" s="12"/>
      <c r="E45" s="12"/>
      <c r="F45" s="111"/>
      <c r="G45" s="240" t="s">
        <v>38</v>
      </c>
      <c r="H45" s="244">
        <v>0</v>
      </c>
      <c r="I45" s="263">
        <f>SUM(H45:H45)</f>
        <v>0</v>
      </c>
    </row>
    <row r="46" spans="1:9" hidden="1">
      <c r="G46" s="242"/>
      <c r="H46" s="243"/>
      <c r="I46" s="196"/>
    </row>
    <row r="47" spans="1:9" s="215" customFormat="1" hidden="1">
      <c r="A47" s="12"/>
      <c r="B47" s="10"/>
      <c r="C47" s="12"/>
      <c r="D47" s="12"/>
      <c r="E47" s="12"/>
      <c r="F47" s="111"/>
      <c r="G47" s="245" t="s">
        <v>37</v>
      </c>
      <c r="H47" s="246">
        <f>+H$22*1.25%</f>
        <v>208.32887500000004</v>
      </c>
      <c r="I47" s="196">
        <f>SUM(H47:H47)</f>
        <v>208.32887500000004</v>
      </c>
    </row>
    <row r="48" spans="1:9" s="215" customFormat="1">
      <c r="A48" s="12"/>
      <c r="B48" s="10"/>
      <c r="C48" s="12"/>
      <c r="D48" s="12"/>
      <c r="E48" s="12"/>
      <c r="F48" s="111"/>
      <c r="G48" s="245"/>
      <c r="H48" s="195"/>
      <c r="I48" s="196"/>
    </row>
    <row r="49" spans="1:9" s="250" customFormat="1">
      <c r="A49" s="17"/>
      <c r="B49" s="15"/>
      <c r="C49" s="17"/>
      <c r="D49" s="17"/>
      <c r="E49" s="17"/>
      <c r="F49" s="116"/>
      <c r="G49" s="247" t="s">
        <v>36</v>
      </c>
      <c r="H49" s="248">
        <f t="shared" ref="H49" si="13">+H$32*5%</f>
        <v>551.38400000000001</v>
      </c>
      <c r="I49" s="249">
        <f>SUM(H49:H49)</f>
        <v>551.38400000000001</v>
      </c>
    </row>
    <row r="50" spans="1:9">
      <c r="G50" s="242"/>
      <c r="H50" s="251"/>
      <c r="I50" s="196"/>
    </row>
    <row r="51" spans="1:9" s="215" customFormat="1">
      <c r="A51" s="12"/>
      <c r="B51" s="10"/>
      <c r="C51" s="12"/>
      <c r="D51" s="12"/>
      <c r="E51" s="12"/>
      <c r="F51" s="111"/>
      <c r="G51" s="252" t="s">
        <v>162</v>
      </c>
      <c r="H51" s="266">
        <f>SUM(H52:H54)</f>
        <v>0.28672393589222811</v>
      </c>
      <c r="I51" s="232"/>
    </row>
    <row r="52" spans="1:9">
      <c r="G52" s="229" t="str">
        <f>+G24</f>
        <v>IMSS</v>
      </c>
      <c r="H52" s="264">
        <f>IFERROR(+H24/H7,0)</f>
      </c>
      <c r="I52" s="209"/>
    </row>
    <row r="53" spans="1:9">
      <c r="G53" s="229" t="str">
        <f>+G25</f>
        <v>INFONAVIT</v>
      </c>
      <c r="H53" s="264">
        <f>IFERROR(+H25/H7,0)</f>
      </c>
      <c r="I53" s="209"/>
    </row>
    <row r="54" spans="1:9">
      <c r="G54" s="253" t="str">
        <f>+G26</f>
        <v>ISPT</v>
      </c>
      <c r="H54" s="265">
        <f>IFERROR(+H26/H7,0)</f>
      </c>
      <c r="I54" s="254"/>
    </row>
  </sheetData>
  <pageMargins left="0.25" right="0.25" top="0.75" bottom="0.75" header="0.3" footer="0.3"/>
  <pageSetup paperSize="5" fitToWidth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6FF33"/>
    <pageSetUpPr fitToPage="1"/>
  </sheetPr>
  <dimension ref="A2:F97"/>
  <sheetViews>
    <sheetView showGridLines="0" workbookViewId="0">
      <pane ySplit="3" topLeftCell="A85" activePane="bottomLeft" state="frozen"/>
      <selection pane="bottomLeft" activeCell="E9" sqref="E9"/>
    </sheetView>
  </sheetViews>
  <sheetFormatPr baseColWidth="10" defaultColWidth="11.44140625" defaultRowHeight="12"/>
  <cols>
    <col min="1" max="1" width="10.5546875" style="282" bestFit="1" customWidth="1"/>
    <col min="2" max="2" width="18.6640625" style="285" customWidth="1"/>
    <col min="3" max="3" width="2.6640625" style="282" customWidth="1"/>
    <col min="4" max="4" width="12.6640625" style="285" customWidth="1"/>
    <col min="5" max="5" width="12.6640625" style="332" customWidth="1"/>
    <col min="6" max="6" width="12.6640625" style="285" bestFit="1" customWidth="1"/>
    <col min="7" max="16384" width="11.44140625" style="285"/>
  </cols>
  <sheetData>
    <row r="2" spans="1:5" s="276" customFormat="1" ht="24.9" customHeight="1">
      <c r="A2" s="273"/>
      <c r="B2" s="274" t="s">
        <v>276</v>
      </c>
      <c r="C2" s="275"/>
      <c r="D2" s="379" t="s">
        <v>320</v>
      </c>
      <c r="E2" s="380"/>
    </row>
    <row r="3" spans="1:5" s="276" customFormat="1">
      <c r="A3" s="273"/>
      <c r="B3" s="274" t="s">
        <v>277</v>
      </c>
      <c r="C3" s="389"/>
      <c r="D3" s="274">
        <v>1</v>
      </c>
      <c r="E3" s="238"/>
    </row>
    <row r="4" spans="1:5" s="276" customFormat="1">
      <c r="A4" s="273"/>
      <c r="B4" s="274" t="s">
        <v>278</v>
      </c>
      <c r="C4" s="390"/>
      <c r="D4" s="274" t="s">
        <v>279</v>
      </c>
      <c r="E4" s="238" t="s">
        <v>281</v>
      </c>
    </row>
    <row r="5" spans="1:5" s="276" customFormat="1">
      <c r="A5" s="273"/>
      <c r="B5" s="274" t="s">
        <v>363</v>
      </c>
      <c r="C5" s="391"/>
      <c r="D5" s="277">
        <f>IFERROR(+D45/ingresos!H32*100,0)</f>
      </c>
      <c r="E5" s="238"/>
    </row>
    <row r="6" spans="1:5" s="276" customFormat="1">
      <c r="A6" s="273"/>
      <c r="B6" s="278" t="s">
        <v>317</v>
      </c>
      <c r="C6" s="279"/>
      <c r="D6" s="280"/>
      <c r="E6" s="281"/>
    </row>
    <row r="7" spans="1:5" s="276" customFormat="1">
      <c r="A7" s="273"/>
      <c r="B7" s="278" t="s">
        <v>318</v>
      </c>
      <c r="C7" s="279"/>
      <c r="D7" s="280"/>
      <c r="E7" s="281"/>
    </row>
    <row r="8" spans="1:5">
      <c r="B8" s="283" t="s">
        <v>282</v>
      </c>
      <c r="C8" s="284" t="s">
        <v>114</v>
      </c>
      <c r="D8" s="170">
        <v>885</v>
      </c>
      <c r="E8" s="170">
        <f>SUM(D8)</f>
        <v>885</v>
      </c>
    </row>
    <row r="9" spans="1:5">
      <c r="B9" s="283" t="s">
        <v>283</v>
      </c>
      <c r="C9" s="284" t="s">
        <v>116</v>
      </c>
      <c r="D9" s="170">
        <v>368.04</v>
      </c>
      <c r="E9" s="170">
        <f t="shared" ref="E9:E15" si="0">SUM(D9:D9)</f>
        <v>368.04</v>
      </c>
    </row>
    <row r="10" spans="1:5">
      <c r="B10" s="283" t="s">
        <v>291</v>
      </c>
      <c r="C10" s="284" t="s">
        <v>110</v>
      </c>
      <c r="D10" s="170">
        <v>110</v>
      </c>
      <c r="E10" s="170">
        <f t="shared" si="0"/>
        <v>110</v>
      </c>
    </row>
    <row r="11" spans="1:5">
      <c r="B11" s="286" t="s">
        <v>284</v>
      </c>
      <c r="C11" s="287" t="s">
        <v>136</v>
      </c>
      <c r="D11" s="288">
        <f>100*4</f>
        <v>400</v>
      </c>
      <c r="E11" s="170">
        <f t="shared" si="0"/>
        <v>400</v>
      </c>
    </row>
    <row r="12" spans="1:5" ht="11.25" customHeight="1">
      <c r="B12" s="283" t="s">
        <v>309</v>
      </c>
      <c r="C12" s="284" t="s">
        <v>125</v>
      </c>
      <c r="D12" s="170">
        <v>390</v>
      </c>
      <c r="E12" s="170">
        <f t="shared" si="0"/>
        <v>390</v>
      </c>
    </row>
    <row r="13" spans="1:5" ht="11.25" customHeight="1">
      <c r="B13" s="283" t="s">
        <v>295</v>
      </c>
      <c r="C13" s="284"/>
      <c r="D13" s="170">
        <f>50+50+20+50+50</f>
        <v>220</v>
      </c>
      <c r="E13" s="170">
        <f t="shared" si="0"/>
        <v>220</v>
      </c>
    </row>
    <row r="14" spans="1:5" ht="12" customHeight="1">
      <c r="B14" s="283" t="s">
        <v>290</v>
      </c>
      <c r="C14" s="284"/>
      <c r="D14" s="170">
        <v>0</v>
      </c>
      <c r="E14" s="170">
        <f t="shared" si="0"/>
        <v>0</v>
      </c>
    </row>
    <row r="15" spans="1:5">
      <c r="B15" s="283" t="s">
        <v>311</v>
      </c>
      <c r="C15" s="284"/>
      <c r="D15" s="170">
        <v>0</v>
      </c>
      <c r="E15" s="170">
        <f t="shared" si="0"/>
        <v>0</v>
      </c>
    </row>
    <row r="16" spans="1:5" s="276" customFormat="1">
      <c r="A16" s="273"/>
      <c r="B16" s="289" t="s">
        <v>398</v>
      </c>
      <c r="C16" s="290"/>
      <c r="D16" s="291">
        <f>SUM(D6:D15)</f>
        <v>2373.04</v>
      </c>
      <c r="E16" s="291">
        <f>SUM(E6:E15)</f>
        <v>2373.04</v>
      </c>
    </row>
    <row r="17" spans="1:5" s="293" customFormat="1">
      <c r="A17" s="292" t="s">
        <v>285</v>
      </c>
      <c r="B17" s="375" t="s">
        <v>285</v>
      </c>
      <c r="C17" s="376"/>
      <c r="D17" s="376"/>
      <c r="E17" s="377"/>
    </row>
    <row r="18" spans="1:5" s="276" customFormat="1">
      <c r="A18" s="273"/>
      <c r="B18" s="294" t="s">
        <v>326</v>
      </c>
      <c r="C18" s="295"/>
      <c r="D18" s="296">
        <f>SUM(D19:D25)</f>
        <v>6433.21</v>
      </c>
      <c r="E18" s="296">
        <f t="shared" ref="E18:E25" si="1">SUM(D18:D18)</f>
        <v>6433.21</v>
      </c>
    </row>
    <row r="19" spans="1:5">
      <c r="B19" s="283" t="s">
        <v>182</v>
      </c>
      <c r="C19" s="284" t="s">
        <v>127</v>
      </c>
      <c r="D19" s="170">
        <v>529.04</v>
      </c>
      <c r="E19" s="170">
        <f t="shared" si="1"/>
        <v>529.04</v>
      </c>
    </row>
    <row r="20" spans="1:5">
      <c r="B20" s="283" t="s">
        <v>182</v>
      </c>
      <c r="C20" s="284" t="s">
        <v>134</v>
      </c>
      <c r="D20" s="170">
        <v>376.66</v>
      </c>
      <c r="E20" s="170">
        <f t="shared" si="1"/>
        <v>376.66</v>
      </c>
    </row>
    <row r="21" spans="1:5">
      <c r="B21" s="283" t="s">
        <v>182</v>
      </c>
      <c r="C21" s="284" t="s">
        <v>132</v>
      </c>
      <c r="D21" s="170">
        <v>2029.88</v>
      </c>
      <c r="E21" s="170">
        <f t="shared" si="1"/>
        <v>2029.88</v>
      </c>
    </row>
    <row r="22" spans="1:5">
      <c r="B22" s="283" t="s">
        <v>182</v>
      </c>
      <c r="C22" s="284" t="s">
        <v>130</v>
      </c>
      <c r="D22" s="170">
        <v>2186.71</v>
      </c>
      <c r="E22" s="170">
        <f t="shared" si="1"/>
        <v>2186.71</v>
      </c>
    </row>
    <row r="23" spans="1:5">
      <c r="B23" s="283" t="s">
        <v>182</v>
      </c>
      <c r="C23" s="284" t="s">
        <v>129</v>
      </c>
      <c r="D23" s="170">
        <v>530.63</v>
      </c>
      <c r="E23" s="170">
        <f t="shared" si="1"/>
        <v>530.63</v>
      </c>
    </row>
    <row r="24" spans="1:5">
      <c r="B24" s="283" t="s">
        <v>182</v>
      </c>
      <c r="C24" s="284" t="s">
        <v>126</v>
      </c>
      <c r="D24" s="170">
        <v>349.57</v>
      </c>
      <c r="E24" s="170">
        <f t="shared" si="1"/>
        <v>349.57</v>
      </c>
    </row>
    <row r="25" spans="1:5">
      <c r="B25" s="283" t="s">
        <v>182</v>
      </c>
      <c r="C25" s="284" t="s">
        <v>113</v>
      </c>
      <c r="D25" s="170">
        <v>430.72</v>
      </c>
      <c r="E25" s="170">
        <f t="shared" si="1"/>
        <v>430.72</v>
      </c>
    </row>
    <row r="26" spans="1:5">
      <c r="B26" s="283" t="s">
        <v>182</v>
      </c>
      <c r="C26" s="284"/>
      <c r="D26" s="170"/>
      <c r="E26" s="170"/>
    </row>
    <row r="27" spans="1:5">
      <c r="B27" s="283" t="s">
        <v>182</v>
      </c>
      <c r="C27" s="284"/>
      <c r="D27" s="170"/>
      <c r="E27" s="170"/>
    </row>
    <row r="28" spans="1:5">
      <c r="B28" s="283" t="s">
        <v>306</v>
      </c>
      <c r="C28" s="284" t="s">
        <v>129</v>
      </c>
      <c r="D28" s="170">
        <v>167.86</v>
      </c>
      <c r="E28" s="170">
        <f>SUM(D28:D28)</f>
        <v>167.86</v>
      </c>
    </row>
    <row r="29" spans="1:5">
      <c r="B29" s="283" t="s">
        <v>428</v>
      </c>
      <c r="C29" s="284"/>
      <c r="D29" s="170"/>
      <c r="E29" s="170">
        <f>SUM(D29:D29)</f>
        <v>0</v>
      </c>
    </row>
    <row r="30" spans="1:5">
      <c r="B30" s="283" t="s">
        <v>302</v>
      </c>
      <c r="C30" s="284"/>
      <c r="D30" s="170"/>
      <c r="E30" s="170"/>
    </row>
    <row r="31" spans="1:5">
      <c r="B31" s="283" t="s">
        <v>292</v>
      </c>
      <c r="C31" s="284"/>
      <c r="D31" s="170"/>
      <c r="E31" s="170">
        <f>SUM(D31:D31)</f>
        <v>0</v>
      </c>
    </row>
    <row r="32" spans="1:5">
      <c r="B32" s="283" t="s">
        <v>313</v>
      </c>
      <c r="C32" s="284"/>
      <c r="D32" s="170"/>
      <c r="E32" s="170">
        <f>SUM(D32:D32)</f>
        <v>0</v>
      </c>
    </row>
    <row r="33" spans="1:5">
      <c r="B33" s="283" t="s">
        <v>323</v>
      </c>
      <c r="C33" s="284"/>
      <c r="D33" s="170"/>
      <c r="E33" s="170"/>
    </row>
    <row r="34" spans="1:5">
      <c r="B34" s="283" t="s">
        <v>415</v>
      </c>
      <c r="C34" s="284"/>
      <c r="D34" s="170"/>
      <c r="E34" s="170">
        <f>SUM(D34:D34)</f>
        <v>0</v>
      </c>
    </row>
    <row r="35" spans="1:5" s="276" customFormat="1">
      <c r="A35" s="273"/>
      <c r="B35" s="289" t="s">
        <v>399</v>
      </c>
      <c r="C35" s="290"/>
      <c r="D35" s="291">
        <f>SUM(D19:D34)</f>
        <v>6601.07</v>
      </c>
      <c r="E35" s="291">
        <f t="shared" ref="E35" si="2">SUM(E18:E34)</f>
        <v>13034.279999999999</v>
      </c>
    </row>
    <row r="36" spans="1:5">
      <c r="A36" s="282" t="s">
        <v>409</v>
      </c>
      <c r="B36" s="375" t="s">
        <v>286</v>
      </c>
      <c r="C36" s="376"/>
      <c r="D36" s="376"/>
      <c r="E36" s="377"/>
    </row>
    <row r="37" spans="1:5">
      <c r="B37" s="283" t="s">
        <v>426</v>
      </c>
      <c r="C37" s="284" t="s">
        <v>136</v>
      </c>
      <c r="D37" s="170">
        <f>18*4*2*4</f>
        <v>576</v>
      </c>
      <c r="E37" s="170">
        <f>SUM(D37:D37)</f>
        <v>576</v>
      </c>
    </row>
    <row r="38" spans="1:5">
      <c r="B38" s="283" t="s">
        <v>427</v>
      </c>
      <c r="C38" s="284" t="s">
        <v>136</v>
      </c>
      <c r="D38" s="170">
        <f>45*2*5</f>
        <v>450</v>
      </c>
      <c r="E38" s="170">
        <f>SUM(D38:D38)</f>
        <v>450</v>
      </c>
    </row>
    <row r="39" spans="1:5" s="276" customFormat="1">
      <c r="A39" s="273"/>
      <c r="B39" s="289" t="s">
        <v>400</v>
      </c>
      <c r="C39" s="290"/>
      <c r="D39" s="291">
        <f>SUM(D37:D38)</f>
        <v>1026</v>
      </c>
      <c r="E39" s="291">
        <f t="shared" ref="E39" si="3">SUM(E37:E38)</f>
        <v>1026</v>
      </c>
    </row>
    <row r="40" spans="1:5" s="297" customFormat="1" ht="24.9" customHeight="1">
      <c r="B40" s="378" t="s">
        <v>396</v>
      </c>
      <c r="C40" s="378"/>
      <c r="D40" s="378"/>
      <c r="E40" s="378"/>
    </row>
    <row r="41" spans="1:5" s="301" customFormat="1">
      <c r="A41" s="298" t="s">
        <v>311</v>
      </c>
      <c r="B41" s="278" t="s">
        <v>413</v>
      </c>
      <c r="C41" s="279"/>
      <c r="D41" s="299"/>
      <c r="E41" s="300"/>
    </row>
    <row r="42" spans="1:5" s="301" customFormat="1">
      <c r="A42" s="298"/>
      <c r="B42" s="278" t="s">
        <v>412</v>
      </c>
      <c r="C42" s="279"/>
      <c r="D42" s="299"/>
      <c r="E42" s="300"/>
    </row>
    <row r="43" spans="1:5" s="301" customFormat="1">
      <c r="A43" s="298"/>
      <c r="B43" s="278" t="s">
        <v>397</v>
      </c>
      <c r="C43" s="279"/>
      <c r="D43" s="299"/>
      <c r="E43" s="300"/>
    </row>
    <row r="44" spans="1:5" s="301" customFormat="1">
      <c r="A44" s="298"/>
      <c r="B44" s="302" t="s">
        <v>401</v>
      </c>
      <c r="C44" s="303"/>
      <c r="D44" s="304">
        <f>SUM(D41:D43)</f>
        <v>0</v>
      </c>
      <c r="E44" s="305">
        <f>SUM(D44:D44)</f>
        <v>0</v>
      </c>
    </row>
    <row r="45" spans="1:5" s="301" customFormat="1" ht="34.5" customHeight="1">
      <c r="A45" s="298"/>
      <c r="B45" s="368" t="s">
        <v>321</v>
      </c>
      <c r="C45" s="365"/>
      <c r="D45" s="366">
        <f>+D16+D35+D39+D44</f>
        <v>10000.11</v>
      </c>
      <c r="E45" s="367">
        <f>SUM(D45:D45)</f>
        <v>10000.11</v>
      </c>
    </row>
    <row r="46" spans="1:5" ht="20.100000000000001" customHeight="1">
      <c r="B46" s="363" t="s">
        <v>287</v>
      </c>
      <c r="C46" s="364"/>
      <c r="D46" s="381" t="s">
        <v>360</v>
      </c>
      <c r="E46" s="382"/>
    </row>
    <row r="47" spans="1:5" ht="20.100000000000001" customHeight="1">
      <c r="B47" s="274" t="s">
        <v>363</v>
      </c>
      <c r="C47" s="306"/>
      <c r="D47" s="307">
        <f>IFERROR(+D75/ingresos!H32,0)</f>
      </c>
      <c r="E47" s="238"/>
    </row>
    <row r="48" spans="1:5" ht="20.100000000000001" customHeight="1">
      <c r="A48" s="282" t="s">
        <v>402</v>
      </c>
      <c r="B48" s="375" t="s">
        <v>402</v>
      </c>
      <c r="C48" s="376"/>
      <c r="D48" s="376"/>
      <c r="E48" s="377"/>
    </row>
    <row r="49" spans="1:5">
      <c r="B49" s="283" t="s">
        <v>324</v>
      </c>
      <c r="C49" s="284"/>
      <c r="D49" s="170">
        <f>99+254</f>
        <v>353</v>
      </c>
      <c r="E49" s="170"/>
    </row>
    <row r="50" spans="1:5">
      <c r="B50" s="283" t="s">
        <v>315</v>
      </c>
      <c r="C50" s="284"/>
      <c r="D50" s="170"/>
      <c r="E50" s="170"/>
    </row>
    <row r="51" spans="1:5">
      <c r="B51" s="283" t="s">
        <v>325</v>
      </c>
      <c r="C51" s="284" t="s">
        <v>110</v>
      </c>
      <c r="D51" s="170">
        <v>99</v>
      </c>
      <c r="E51" s="170"/>
    </row>
    <row r="52" spans="1:5">
      <c r="B52" s="283" t="s">
        <v>312</v>
      </c>
      <c r="C52" s="284"/>
      <c r="D52" s="170"/>
      <c r="E52" s="170"/>
    </row>
    <row r="53" spans="1:5">
      <c r="B53" s="283"/>
      <c r="C53" s="284"/>
      <c r="D53" s="170"/>
      <c r="E53" s="170"/>
    </row>
    <row r="54" spans="1:5">
      <c r="B54" s="283" t="s">
        <v>316</v>
      </c>
      <c r="C54" s="284"/>
      <c r="D54" s="170"/>
      <c r="E54" s="170"/>
    </row>
    <row r="55" spans="1:5">
      <c r="B55" s="283" t="s">
        <v>296</v>
      </c>
      <c r="C55" s="284"/>
      <c r="D55" s="170"/>
      <c r="E55" s="170"/>
    </row>
    <row r="56" spans="1:5" s="276" customFormat="1">
      <c r="A56" s="273"/>
      <c r="B56" s="289" t="s">
        <v>403</v>
      </c>
      <c r="C56" s="290"/>
      <c r="D56" s="291">
        <f>SUM(D49:D55)</f>
        <v>452</v>
      </c>
      <c r="E56" s="291">
        <f t="shared" ref="E56" si="4">SUM(E49:E55)</f>
        <v>0</v>
      </c>
    </row>
    <row r="57" spans="1:5" s="215" customFormat="1">
      <c r="A57" s="308" t="s">
        <v>410</v>
      </c>
      <c r="B57" s="375" t="s">
        <v>303</v>
      </c>
      <c r="C57" s="376"/>
      <c r="D57" s="376"/>
      <c r="E57" s="377"/>
    </row>
    <row r="58" spans="1:5" s="215" customFormat="1">
      <c r="A58" s="308"/>
      <c r="B58" s="252" t="s">
        <v>302</v>
      </c>
      <c r="C58" s="309"/>
      <c r="D58" s="310">
        <f>215+32+65</f>
        <v>312</v>
      </c>
      <c r="E58" s="310"/>
    </row>
    <row r="59" spans="1:5" s="215" customFormat="1">
      <c r="A59" s="308"/>
      <c r="B59" s="252" t="s">
        <v>304</v>
      </c>
      <c r="C59" s="309" t="s">
        <v>110</v>
      </c>
      <c r="D59" s="310">
        <v>79.3</v>
      </c>
      <c r="E59" s="310"/>
    </row>
    <row r="60" spans="1:5" s="215" customFormat="1">
      <c r="A60" s="308"/>
      <c r="B60" s="252" t="s">
        <v>312</v>
      </c>
      <c r="C60" s="309"/>
      <c r="D60" s="310"/>
      <c r="E60" s="310"/>
    </row>
    <row r="61" spans="1:5" s="215" customFormat="1">
      <c r="A61" s="308"/>
      <c r="B61" s="252" t="s">
        <v>305</v>
      </c>
      <c r="C61" s="309" t="s">
        <v>115</v>
      </c>
      <c r="D61" s="310">
        <f>125+125</f>
        <v>250</v>
      </c>
      <c r="E61" s="310"/>
    </row>
    <row r="62" spans="1:5" s="215" customFormat="1">
      <c r="A62" s="308"/>
      <c r="B62" s="252" t="s">
        <v>421</v>
      </c>
      <c r="C62" s="309" t="s">
        <v>131</v>
      </c>
      <c r="D62" s="310">
        <v>139</v>
      </c>
      <c r="E62" s="310"/>
    </row>
    <row r="63" spans="1:5" s="215" customFormat="1">
      <c r="A63" s="308"/>
      <c r="B63" s="252" t="s">
        <v>310</v>
      </c>
      <c r="C63" s="309" t="s">
        <v>113</v>
      </c>
      <c r="D63" s="310">
        <v>93</v>
      </c>
      <c r="E63" s="310"/>
    </row>
    <row r="64" spans="1:5" s="215" customFormat="1">
      <c r="A64" s="308"/>
      <c r="B64" s="252" t="s">
        <v>414</v>
      </c>
      <c r="C64" s="309"/>
      <c r="D64" s="310"/>
      <c r="E64" s="310"/>
    </row>
    <row r="65" spans="1:6" s="215" customFormat="1">
      <c r="A65" s="308"/>
      <c r="B65" s="252" t="s">
        <v>314</v>
      </c>
      <c r="C65" s="309"/>
      <c r="D65" s="310"/>
      <c r="E65" s="310"/>
    </row>
    <row r="66" spans="1:6" s="215" customFormat="1">
      <c r="A66" s="308"/>
      <c r="B66" s="252" t="s">
        <v>429</v>
      </c>
      <c r="C66" s="309"/>
      <c r="D66" s="310"/>
      <c r="E66" s="310"/>
    </row>
    <row r="67" spans="1:6" s="215" customFormat="1">
      <c r="A67" s="308"/>
      <c r="B67" s="252" t="s">
        <v>307</v>
      </c>
      <c r="C67" s="309" t="s">
        <v>131</v>
      </c>
      <c r="D67" s="310">
        <v>188</v>
      </c>
      <c r="E67" s="310"/>
    </row>
    <row r="68" spans="1:6" s="215" customFormat="1">
      <c r="A68" s="308"/>
      <c r="B68" s="289" t="s">
        <v>404</v>
      </c>
      <c r="C68" s="290"/>
      <c r="D68" s="291">
        <f>SUM(D58:D67)</f>
        <v>1061.3</v>
      </c>
      <c r="E68" s="291"/>
    </row>
    <row r="69" spans="1:6" ht="12" customHeight="1">
      <c r="A69" s="282" t="s">
        <v>297</v>
      </c>
      <c r="B69" s="375" t="s">
        <v>297</v>
      </c>
      <c r="C69" s="376"/>
      <c r="D69" s="376"/>
      <c r="E69" s="377"/>
    </row>
    <row r="70" spans="1:6" s="276" customFormat="1" ht="12" customHeight="1">
      <c r="A70" s="273"/>
      <c r="B70" s="311" t="s">
        <v>422</v>
      </c>
      <c r="C70" s="312"/>
      <c r="D70" s="313"/>
      <c r="E70" s="313"/>
    </row>
    <row r="71" spans="1:6" s="276" customFormat="1" ht="12" customHeight="1">
      <c r="A71" s="273"/>
      <c r="B71" s="311" t="s">
        <v>424</v>
      </c>
      <c r="C71" s="312"/>
      <c r="D71" s="313"/>
      <c r="E71" s="313"/>
    </row>
    <row r="72" spans="1:6" s="276" customFormat="1">
      <c r="A72" s="273"/>
      <c r="B72" s="314" t="s">
        <v>425</v>
      </c>
      <c r="C72" s="315"/>
      <c r="D72" s="296"/>
      <c r="E72" s="296"/>
    </row>
    <row r="73" spans="1:6" s="276" customFormat="1">
      <c r="A73" s="273"/>
      <c r="B73" s="314" t="s">
        <v>423</v>
      </c>
      <c r="C73" s="315"/>
      <c r="D73" s="296"/>
      <c r="E73" s="296"/>
    </row>
    <row r="74" spans="1:6" s="276" customFormat="1">
      <c r="A74" s="273"/>
      <c r="B74" s="289" t="s">
        <v>405</v>
      </c>
      <c r="C74" s="290"/>
      <c r="D74" s="291">
        <f>SUM(D70:D73)</f>
        <v>0</v>
      </c>
      <c r="E74" s="291">
        <f>SUM(E70:E73)</f>
        <v>0</v>
      </c>
    </row>
    <row r="75" spans="1:6" s="276" customFormat="1" ht="30" customHeight="1">
      <c r="A75" s="273"/>
      <c r="B75" s="368" t="s">
        <v>322</v>
      </c>
      <c r="C75" s="369"/>
      <c r="D75" s="370">
        <f>+D56+D68+D74</f>
        <v>1513.3</v>
      </c>
      <c r="E75" s="370">
        <f>+E56+E68+E74</f>
        <v>0</v>
      </c>
      <c r="F75" s="317"/>
    </row>
    <row r="76" spans="1:6" s="321" customFormat="1" ht="31.5" customHeight="1">
      <c r="A76" s="318"/>
      <c r="B76" s="371" t="s">
        <v>289</v>
      </c>
      <c r="C76" s="316"/>
      <c r="D76" s="319">
        <f>+D45+D75</f>
        <v>11513.41</v>
      </c>
      <c r="E76" s="319">
        <f>SUM(D76:D76)</f>
        <v>11513.41</v>
      </c>
      <c r="F76" s="320"/>
    </row>
    <row r="77" spans="1:6" s="215" customFormat="1" ht="20.100000000000001" customHeight="1">
      <c r="A77" s="308"/>
      <c r="B77" s="375" t="s">
        <v>328</v>
      </c>
      <c r="C77" s="376"/>
      <c r="D77" s="376"/>
      <c r="E77" s="377"/>
      <c r="F77" s="301"/>
    </row>
    <row r="78" spans="1:6" s="215" customFormat="1" ht="15" customHeight="1">
      <c r="A78" s="308"/>
      <c r="B78" s="343"/>
      <c r="C78" s="343"/>
      <c r="D78" s="307">
        <f>IFERROR(+D89/presupuesto!E7,0)</f>
      </c>
      <c r="E78" s="343"/>
      <c r="F78" s="301"/>
    </row>
    <row r="79" spans="1:6" s="323" customFormat="1">
      <c r="A79" s="273"/>
      <c r="B79" s="274" t="s">
        <v>288</v>
      </c>
      <c r="C79" s="306"/>
      <c r="D79" s="322" t="s">
        <v>279</v>
      </c>
      <c r="E79" s="322"/>
    </row>
    <row r="80" spans="1:6">
      <c r="B80" s="324" t="s">
        <v>417</v>
      </c>
      <c r="C80" s="279"/>
      <c r="D80" s="325">
        <v>0</v>
      </c>
      <c r="E80" s="325">
        <f>SUM(D80:D80)</f>
        <v>0</v>
      </c>
    </row>
    <row r="81" spans="1:5">
      <c r="B81" s="324" t="s">
        <v>417</v>
      </c>
      <c r="C81" s="279"/>
      <c r="D81" s="326">
        <f>SUM(D82:D85)</f>
        <v>3050</v>
      </c>
      <c r="E81" s="325">
        <f>SUM(E82:E88)</f>
        <v>3829</v>
      </c>
    </row>
    <row r="82" spans="1:5">
      <c r="B82" s="324"/>
      <c r="C82" s="279" t="s">
        <v>128</v>
      </c>
      <c r="D82" s="326">
        <v>797</v>
      </c>
      <c r="E82" s="325">
        <f>SUM(D82:D82)</f>
        <v>797</v>
      </c>
    </row>
    <row r="83" spans="1:5">
      <c r="B83" s="324"/>
      <c r="C83" s="279" t="s">
        <v>131</v>
      </c>
      <c r="D83" s="326">
        <v>728</v>
      </c>
      <c r="E83" s="325">
        <f>SUM(D83:D83)</f>
        <v>728</v>
      </c>
    </row>
    <row r="84" spans="1:5">
      <c r="B84" s="324"/>
      <c r="C84" s="279" t="s">
        <v>133</v>
      </c>
      <c r="D84" s="326">
        <v>728</v>
      </c>
      <c r="E84" s="325">
        <f>SUM(D84:D84)</f>
        <v>728</v>
      </c>
    </row>
    <row r="85" spans="1:5">
      <c r="B85" s="324"/>
      <c r="C85" s="279" t="s">
        <v>135</v>
      </c>
      <c r="D85" s="326">
        <v>797</v>
      </c>
      <c r="E85" s="325">
        <f>SUM(D85:D85)</f>
        <v>797</v>
      </c>
    </row>
    <row r="86" spans="1:5">
      <c r="B86" s="324" t="s">
        <v>411</v>
      </c>
      <c r="C86" s="279"/>
      <c r="D86" s="326"/>
      <c r="E86" s="325"/>
    </row>
    <row r="87" spans="1:5">
      <c r="B87" s="324" t="s">
        <v>418</v>
      </c>
      <c r="C87" s="279"/>
      <c r="D87" s="326"/>
      <c r="E87" s="325"/>
    </row>
    <row r="88" spans="1:5">
      <c r="B88" s="324" t="s">
        <v>419</v>
      </c>
      <c r="C88" s="279" t="s">
        <v>103</v>
      </c>
      <c r="D88" s="326">
        <v>779</v>
      </c>
      <c r="E88" s="325">
        <f>SUM(D88:D88)</f>
        <v>779</v>
      </c>
    </row>
    <row r="89" spans="1:5" ht="11.25" customHeight="1">
      <c r="B89" s="327" t="s">
        <v>329</v>
      </c>
      <c r="C89" s="303"/>
      <c r="D89" s="328">
        <f>+D81+D87+D88</f>
        <v>3829</v>
      </c>
      <c r="E89" s="328">
        <f t="shared" ref="E89" si="5">SUM(E80:E81)</f>
        <v>3829</v>
      </c>
    </row>
    <row r="90" spans="1:5" s="276" customFormat="1">
      <c r="A90" s="273"/>
      <c r="B90" s="274" t="s">
        <v>300</v>
      </c>
      <c r="C90" s="306"/>
      <c r="D90" s="239">
        <f>SUM(D91)</f>
        <v>0</v>
      </c>
      <c r="E90" s="239">
        <f>SUM(E91)</f>
        <v>0</v>
      </c>
    </row>
    <row r="91" spans="1:5">
      <c r="B91" s="329" t="s">
        <v>420</v>
      </c>
      <c r="C91" s="284"/>
      <c r="D91" s="170">
        <v>0</v>
      </c>
      <c r="E91" s="170"/>
    </row>
    <row r="92" spans="1:5">
      <c r="B92" s="330"/>
      <c r="C92" s="284"/>
      <c r="D92" s="170"/>
      <c r="E92" s="170"/>
    </row>
    <row r="93" spans="1:5" s="276" customFormat="1">
      <c r="A93" s="273"/>
      <c r="B93" s="331" t="s">
        <v>330</v>
      </c>
      <c r="C93" s="290"/>
      <c r="D93" s="291">
        <f>SUM(D91:D92)</f>
        <v>0</v>
      </c>
      <c r="E93" s="291">
        <f t="shared" ref="E93:E94" si="6">+E88+E92</f>
        <v>779</v>
      </c>
    </row>
    <row r="94" spans="1:5" s="276" customFormat="1" ht="31.5" customHeight="1">
      <c r="A94" s="273" t="s">
        <v>416</v>
      </c>
      <c r="B94" s="372" t="s">
        <v>430</v>
      </c>
      <c r="C94" s="373"/>
      <c r="D94" s="374">
        <f>+D89+D93</f>
        <v>3829</v>
      </c>
      <c r="E94" s="374">
        <f t="shared" si="6"/>
        <v>4608</v>
      </c>
    </row>
    <row r="95" spans="1:5">
      <c r="B95" s="383" t="s">
        <v>327</v>
      </c>
      <c r="C95" s="387"/>
      <c r="D95" s="385">
        <f>+D76+D94</f>
        <v>15342.41</v>
      </c>
      <c r="E95" s="385">
        <f t="shared" ref="E95" si="7">+E90+E94</f>
        <v>4608</v>
      </c>
    </row>
    <row r="96" spans="1:5">
      <c r="B96" s="384"/>
      <c r="C96" s="388"/>
      <c r="D96" s="386"/>
      <c r="E96" s="386">
        <f t="shared" ref="E96" si="8">+E91+E95</f>
        <v>4608</v>
      </c>
    </row>
    <row r="97" spans="1:4" s="332" customFormat="1">
      <c r="A97" s="333"/>
      <c r="C97" s="333"/>
      <c r="D97" s="332">
        <f>+D76+D94</f>
        <v>15342.41</v>
      </c>
    </row>
  </sheetData>
  <mergeCells count="14">
    <mergeCell ref="B77:E77"/>
    <mergeCell ref="D2:E2"/>
    <mergeCell ref="D46:E46"/>
    <mergeCell ref="B95:B96"/>
    <mergeCell ref="D95:D96"/>
    <mergeCell ref="E95:E96"/>
    <mergeCell ref="C95:C96"/>
    <mergeCell ref="C3:C5"/>
    <mergeCell ref="B57:E57"/>
    <mergeCell ref="B69:E69"/>
    <mergeCell ref="B17:E17"/>
    <mergeCell ref="B36:E36"/>
    <mergeCell ref="B40:E40"/>
    <mergeCell ref="B48:E48"/>
  </mergeCells>
  <pageMargins left="0.25" right="0.25" top="0.75" bottom="0.75" header="0.3" footer="0.3"/>
  <pageSetup paperSize="3" scale="65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  <pageSetUpPr fitToPage="1"/>
  </sheetPr>
  <dimension ref="A1:Y130"/>
  <sheetViews>
    <sheetView showGridLines="0" topLeftCell="A52" workbookViewId="0">
      <selection activeCell="K3" sqref="K3:K4"/>
    </sheetView>
  </sheetViews>
  <sheetFormatPr baseColWidth="10" defaultColWidth="10.88671875" defaultRowHeight="13.8"/>
  <cols>
    <col min="1" max="1" width="10.88671875" style="107"/>
    <col min="2" max="2" width="22" style="27" customWidth="1"/>
    <col min="3" max="3" width="16" style="27" customWidth="1"/>
    <col min="4" max="4" width="1.6640625" style="27" customWidth="1"/>
    <col min="5" max="5" width="23.88671875" style="27" bestFit="1" customWidth="1"/>
    <col min="6" max="6" width="8.33203125" style="27" customWidth="1"/>
    <col min="7" max="7" width="17.33203125" style="27" customWidth="1"/>
    <col min="8" max="8" width="1.6640625" style="27" customWidth="1"/>
    <col min="9" max="9" width="15.109375" style="27" customWidth="1"/>
    <col min="10" max="10" width="2.88671875" style="27" customWidth="1"/>
    <col min="11" max="11" width="27.33203125" style="27" customWidth="1"/>
    <col min="12" max="12" width="12.6640625" style="28" bestFit="1" customWidth="1"/>
    <col min="13" max="25" width="10.88671875" style="28"/>
    <col min="26" max="16384" width="10.88671875" style="27"/>
  </cols>
  <sheetData>
    <row r="1" spans="1:25" ht="33.9" customHeight="1"/>
    <row r="2" spans="1:25" ht="68.099999999999994" customHeight="1">
      <c r="B2" s="29"/>
      <c r="C2" s="395" t="s">
        <v>183</v>
      </c>
      <c r="D2" s="395"/>
      <c r="E2" s="395"/>
      <c r="F2" s="395"/>
      <c r="G2" s="395"/>
      <c r="H2" s="30"/>
      <c r="I2" s="396"/>
      <c r="J2" s="396"/>
      <c r="K2" s="396"/>
      <c r="L2" s="27"/>
    </row>
    <row r="3" spans="1:25" ht="21.9" customHeight="1">
      <c r="B3" s="29"/>
      <c r="C3" s="397" t="s">
        <v>184</v>
      </c>
      <c r="D3" s="397"/>
      <c r="E3" s="397"/>
      <c r="F3" s="397"/>
      <c r="G3" s="397"/>
      <c r="H3" s="31"/>
      <c r="I3" s="398" t="s">
        <v>185</v>
      </c>
      <c r="J3" s="32"/>
      <c r="K3" s="398" t="s">
        <v>187</v>
      </c>
      <c r="M3" s="33" t="s">
        <v>187</v>
      </c>
    </row>
    <row r="4" spans="1:25" ht="21" customHeight="1" thickBot="1">
      <c r="B4" s="29"/>
      <c r="C4" s="34"/>
      <c r="D4" s="34"/>
      <c r="E4" s="34"/>
      <c r="F4" s="34"/>
      <c r="G4" s="34"/>
      <c r="H4" s="31"/>
      <c r="I4" s="398"/>
      <c r="J4" s="32"/>
      <c r="K4" s="398"/>
      <c r="M4" s="33" t="s">
        <v>188</v>
      </c>
    </row>
    <row r="5" spans="1:25">
      <c r="B5" s="392" t="s">
        <v>189</v>
      </c>
      <c r="C5" s="393"/>
      <c r="D5" s="393"/>
      <c r="E5" s="393"/>
      <c r="F5" s="393"/>
      <c r="G5" s="393"/>
      <c r="H5" s="393"/>
      <c r="I5" s="393"/>
      <c r="J5" s="393"/>
      <c r="K5" s="394"/>
      <c r="M5" s="33" t="s">
        <v>190</v>
      </c>
    </row>
    <row r="6" spans="1:25">
      <c r="B6" s="35"/>
      <c r="C6" s="36" t="s">
        <v>191</v>
      </c>
      <c r="D6" s="37"/>
      <c r="E6" s="38" t="s">
        <v>192</v>
      </c>
      <c r="F6" s="39"/>
      <c r="G6" s="37"/>
      <c r="H6" s="37"/>
      <c r="I6" s="36" t="s">
        <v>191</v>
      </c>
      <c r="J6" s="37"/>
      <c r="K6" s="40" t="s">
        <v>192</v>
      </c>
      <c r="M6" s="33" t="s">
        <v>193</v>
      </c>
    </row>
    <row r="7" spans="1:25" s="28" customFormat="1">
      <c r="A7" s="108"/>
      <c r="B7" s="400" t="s">
        <v>194</v>
      </c>
      <c r="C7" s="401"/>
      <c r="D7" s="41"/>
      <c r="E7" s="42">
        <f>+ingresos!H33</f>
        <v>11027.68</v>
      </c>
      <c r="F7" s="41"/>
      <c r="G7" s="401" t="s">
        <v>195</v>
      </c>
      <c r="H7" s="401"/>
      <c r="I7" s="401"/>
      <c r="J7" s="41"/>
      <c r="K7" s="43">
        <v>0</v>
      </c>
      <c r="M7" s="33" t="s">
        <v>196</v>
      </c>
    </row>
    <row r="8" spans="1:25" s="28" customFormat="1">
      <c r="A8" s="108"/>
      <c r="B8" s="400" t="s">
        <v>197</v>
      </c>
      <c r="C8" s="401"/>
      <c r="D8" s="41"/>
      <c r="E8" s="44">
        <v>0</v>
      </c>
      <c r="F8" s="41"/>
      <c r="G8" s="401" t="s">
        <v>331</v>
      </c>
      <c r="H8" s="401"/>
      <c r="I8" s="401"/>
      <c r="J8" s="41"/>
      <c r="K8" s="45">
        <v>0</v>
      </c>
      <c r="M8" s="33" t="s">
        <v>198</v>
      </c>
    </row>
    <row r="9" spans="1:25" s="28" customFormat="1">
      <c r="A9" s="108"/>
      <c r="B9" s="400" t="s">
        <v>199</v>
      </c>
      <c r="C9" s="401"/>
      <c r="D9" s="41"/>
      <c r="E9" s="44">
        <v>0</v>
      </c>
      <c r="F9" s="41"/>
      <c r="G9" s="401" t="s">
        <v>332</v>
      </c>
      <c r="H9" s="401"/>
      <c r="I9" s="401"/>
      <c r="J9" s="41"/>
      <c r="K9" s="45">
        <v>0</v>
      </c>
      <c r="M9" s="33" t="s">
        <v>200</v>
      </c>
    </row>
    <row r="10" spans="1:25" s="28" customFormat="1" ht="5.0999999999999996" customHeight="1">
      <c r="A10" s="108"/>
      <c r="B10" s="46"/>
      <c r="C10" s="41"/>
      <c r="D10" s="41"/>
      <c r="E10" s="41"/>
      <c r="F10" s="41"/>
      <c r="G10" s="41"/>
      <c r="H10" s="41"/>
      <c r="I10" s="41"/>
      <c r="J10" s="41"/>
      <c r="K10" s="47"/>
      <c r="M10" s="33" t="s">
        <v>201</v>
      </c>
    </row>
    <row r="11" spans="1:25" ht="14.4" thickBot="1">
      <c r="B11" s="402" t="s">
        <v>202</v>
      </c>
      <c r="C11" s="403"/>
      <c r="D11" s="48"/>
      <c r="E11" s="49">
        <f>+E7+E8+E9+K7+K8+K9</f>
        <v>11027.68</v>
      </c>
      <c r="F11" s="49"/>
      <c r="G11" s="49"/>
      <c r="H11" s="49"/>
      <c r="I11" s="49"/>
      <c r="J11" s="49"/>
      <c r="K11" s="50"/>
      <c r="L11" s="51"/>
      <c r="M11" s="33" t="s">
        <v>203</v>
      </c>
    </row>
    <row r="12" spans="1:25" s="129" customFormat="1" ht="18.600000000000001">
      <c r="A12" s="107"/>
      <c r="B12" s="404" t="s">
        <v>407</v>
      </c>
      <c r="C12" s="405"/>
      <c r="D12" s="405"/>
      <c r="E12" s="405"/>
      <c r="F12" s="405"/>
      <c r="G12" s="405"/>
      <c r="H12" s="405"/>
      <c r="I12" s="405"/>
      <c r="J12" s="405"/>
      <c r="K12" s="406"/>
      <c r="L12" s="127"/>
      <c r="M12" s="128" t="s">
        <v>186</v>
      </c>
      <c r="N12" s="127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</row>
    <row r="13" spans="1:25" s="28" customFormat="1">
      <c r="A13" s="108"/>
      <c r="B13" s="52" t="s">
        <v>204</v>
      </c>
      <c r="C13" s="53" t="s">
        <v>205</v>
      </c>
      <c r="D13" s="41"/>
      <c r="E13" s="54" t="s">
        <v>204</v>
      </c>
      <c r="F13" s="407" t="s">
        <v>205</v>
      </c>
      <c r="G13" s="407"/>
      <c r="H13" s="55"/>
      <c r="I13" s="54" t="s">
        <v>204</v>
      </c>
      <c r="J13" s="54"/>
      <c r="K13" s="56" t="s">
        <v>205</v>
      </c>
      <c r="M13" s="33" t="s">
        <v>206</v>
      </c>
    </row>
    <row r="14" spans="1:25" s="28" customFormat="1" ht="3" customHeight="1">
      <c r="A14" s="108"/>
      <c r="B14" s="46"/>
      <c r="C14" s="41"/>
      <c r="D14" s="41"/>
      <c r="E14" s="41"/>
      <c r="F14" s="41"/>
      <c r="G14" s="41"/>
      <c r="H14" s="41"/>
      <c r="I14" s="41"/>
      <c r="J14" s="41"/>
      <c r="K14" s="47"/>
      <c r="M14" s="33"/>
    </row>
    <row r="15" spans="1:25">
      <c r="B15" s="268" t="s">
        <v>207</v>
      </c>
      <c r="C15" s="269"/>
      <c r="D15" s="59"/>
      <c r="E15" s="58" t="s">
        <v>208</v>
      </c>
      <c r="F15" s="399"/>
      <c r="G15" s="399"/>
      <c r="H15" s="60"/>
      <c r="I15" s="58" t="s">
        <v>209</v>
      </c>
      <c r="J15" s="58"/>
      <c r="K15" s="61"/>
      <c r="M15" s="33"/>
    </row>
    <row r="16" spans="1:25" s="28" customFormat="1">
      <c r="A16" s="108"/>
      <c r="B16" s="62" t="s">
        <v>210</v>
      </c>
      <c r="C16" s="63">
        <f>+'hoja de gastos'!D6</f>
        <v>0</v>
      </c>
      <c r="D16" s="41"/>
      <c r="E16" s="64" t="s">
        <v>211</v>
      </c>
      <c r="F16" s="41"/>
      <c r="G16" s="63">
        <v>0</v>
      </c>
      <c r="H16" s="41"/>
      <c r="I16" s="41" t="s">
        <v>212</v>
      </c>
      <c r="J16" s="41"/>
      <c r="K16" s="65">
        <v>0</v>
      </c>
    </row>
    <row r="17" spans="1:13" s="28" customFormat="1">
      <c r="A17" s="108"/>
      <c r="B17" s="62" t="s">
        <v>333</v>
      </c>
      <c r="C17" s="63">
        <f>+'hoja de gastos'!D7</f>
        <v>0</v>
      </c>
      <c r="D17" s="41"/>
      <c r="E17" s="64" t="s">
        <v>213</v>
      </c>
      <c r="F17" s="41"/>
      <c r="G17" s="63">
        <f>+'hoja de gastos'!D37</f>
        <v>576</v>
      </c>
      <c r="H17" s="41"/>
      <c r="I17" s="41" t="s">
        <v>214</v>
      </c>
      <c r="J17" s="41"/>
      <c r="K17" s="65">
        <v>0</v>
      </c>
      <c r="L17" s="28" t="s">
        <v>215</v>
      </c>
    </row>
    <row r="18" spans="1:13">
      <c r="B18" s="268" t="s">
        <v>216</v>
      </c>
      <c r="C18" s="269"/>
      <c r="D18" s="66"/>
      <c r="E18" s="64" t="s">
        <v>217</v>
      </c>
      <c r="F18" s="41"/>
      <c r="G18" s="63">
        <v>0</v>
      </c>
      <c r="H18" s="66"/>
      <c r="I18" s="66" t="s">
        <v>218</v>
      </c>
      <c r="J18" s="41"/>
      <c r="K18" s="65">
        <v>0</v>
      </c>
    </row>
    <row r="19" spans="1:13" s="28" customFormat="1">
      <c r="A19" s="108"/>
      <c r="B19" s="62" t="s">
        <v>219</v>
      </c>
      <c r="C19" s="63">
        <f>+'hoja de gastos'!D11</f>
        <v>400</v>
      </c>
      <c r="D19" s="41"/>
      <c r="E19" s="58" t="s">
        <v>220</v>
      </c>
      <c r="F19" s="399"/>
      <c r="G19" s="399"/>
      <c r="H19" s="41"/>
      <c r="I19" s="41" t="s">
        <v>221</v>
      </c>
      <c r="J19" s="41"/>
      <c r="K19" s="65"/>
    </row>
    <row r="20" spans="1:13" s="28" customFormat="1">
      <c r="A20" s="108"/>
      <c r="B20" s="62" t="s">
        <v>222</v>
      </c>
      <c r="C20" s="63">
        <f>+'hoja de gastos'!D9</f>
        <v>368.04</v>
      </c>
      <c r="D20" s="41"/>
      <c r="E20" s="41" t="s">
        <v>223</v>
      </c>
      <c r="F20" s="41"/>
      <c r="G20" s="67">
        <v>0</v>
      </c>
      <c r="H20" s="41"/>
      <c r="I20" s="58" t="s">
        <v>224</v>
      </c>
      <c r="J20" s="58"/>
      <c r="K20" s="61"/>
    </row>
    <row r="21" spans="1:13" s="28" customFormat="1">
      <c r="A21" s="108"/>
      <c r="B21" s="62" t="s">
        <v>225</v>
      </c>
      <c r="C21" s="63">
        <f>+'hoja de gastos'!D13</f>
        <v>220</v>
      </c>
      <c r="D21" s="41"/>
      <c r="E21" s="41" t="s">
        <v>226</v>
      </c>
      <c r="F21" s="41"/>
      <c r="G21" s="67"/>
      <c r="H21" s="41"/>
      <c r="I21" s="41" t="s">
        <v>227</v>
      </c>
      <c r="J21" s="41"/>
      <c r="K21" s="65">
        <v>0</v>
      </c>
    </row>
    <row r="22" spans="1:13" s="28" customFormat="1">
      <c r="A22" s="108"/>
      <c r="B22" s="62" t="s">
        <v>335</v>
      </c>
      <c r="C22" s="63">
        <f>+'hoja de gastos'!D12</f>
        <v>390</v>
      </c>
      <c r="D22" s="41"/>
      <c r="E22" s="41" t="s">
        <v>228</v>
      </c>
      <c r="F22" s="41"/>
      <c r="G22" s="67">
        <v>0</v>
      </c>
      <c r="H22" s="41"/>
      <c r="I22" s="41" t="s">
        <v>217</v>
      </c>
      <c r="J22" s="41"/>
      <c r="K22" s="65">
        <v>0</v>
      </c>
    </row>
    <row r="23" spans="1:13" s="28" customFormat="1">
      <c r="A23" s="108"/>
      <c r="B23" s="73" t="s">
        <v>334</v>
      </c>
      <c r="C23" s="63">
        <f>+'hoja de gastos'!D10</f>
        <v>110</v>
      </c>
      <c r="D23" s="41"/>
      <c r="E23" s="41" t="s">
        <v>229</v>
      </c>
      <c r="F23" s="41"/>
      <c r="G23" s="67">
        <v>0</v>
      </c>
      <c r="H23" s="41"/>
      <c r="I23" s="68" t="s">
        <v>230</v>
      </c>
      <c r="J23" s="69"/>
      <c r="K23" s="70"/>
    </row>
    <row r="24" spans="1:13" s="28" customFormat="1">
      <c r="A24" s="108"/>
      <c r="B24" s="71" t="s">
        <v>231</v>
      </c>
      <c r="C24" s="63">
        <f>+'hoja de gastos'!D8</f>
        <v>885</v>
      </c>
      <c r="D24" s="41"/>
      <c r="E24" s="58" t="s">
        <v>232</v>
      </c>
      <c r="F24" s="399"/>
      <c r="G24" s="399"/>
      <c r="H24" s="41"/>
      <c r="I24" s="72" t="s">
        <v>233</v>
      </c>
      <c r="J24" s="41"/>
      <c r="K24" s="65">
        <f>+'hoja de gastos'!D90</f>
      </c>
    </row>
    <row r="25" spans="1:13" s="28" customFormat="1">
      <c r="A25" s="108"/>
      <c r="B25" s="62" t="s">
        <v>234</v>
      </c>
      <c r="C25" s="63">
        <f>+'hoja de gastos'!D14</f>
        <v>0</v>
      </c>
      <c r="D25" s="41"/>
      <c r="E25" s="41" t="s">
        <v>235</v>
      </c>
      <c r="F25" s="41"/>
      <c r="G25" s="63">
        <v>0</v>
      </c>
      <c r="H25" s="41"/>
      <c r="I25" s="409" t="s">
        <v>236</v>
      </c>
      <c r="J25" s="410"/>
      <c r="K25" s="65">
        <f>+'hoja de gastos'!D81</f>
      </c>
    </row>
    <row r="26" spans="1:13" s="28" customFormat="1">
      <c r="A26" s="108"/>
      <c r="B26" s="73" t="s">
        <v>336</v>
      </c>
      <c r="C26" s="74">
        <f>+'hoja de gastos'!D15</f>
        <v>0</v>
      </c>
      <c r="D26" s="41"/>
      <c r="E26" s="41" t="s">
        <v>301</v>
      </c>
      <c r="F26" s="41"/>
      <c r="G26" s="63">
        <f>+'hoja de gastos'!D38</f>
        <v>450</v>
      </c>
      <c r="H26" s="41"/>
      <c r="I26" s="409" t="s">
        <v>237</v>
      </c>
      <c r="J26" s="410"/>
      <c r="K26" s="65">
        <f>+'hoja de gastos'!D80</f>
      </c>
    </row>
    <row r="27" spans="1:13" s="28" customFormat="1">
      <c r="A27" s="108"/>
      <c r="B27" s="268" t="s">
        <v>238</v>
      </c>
      <c r="C27" s="269"/>
      <c r="D27" s="41"/>
      <c r="E27" s="41" t="s">
        <v>239</v>
      </c>
      <c r="F27" s="41"/>
      <c r="G27" s="63">
        <v>0</v>
      </c>
      <c r="H27" s="41"/>
      <c r="I27" s="411" t="s">
        <v>240</v>
      </c>
      <c r="J27" s="412"/>
      <c r="K27" s="65">
        <v>0</v>
      </c>
    </row>
    <row r="28" spans="1:13" s="28" customFormat="1">
      <c r="A28" s="108"/>
      <c r="B28" s="62" t="s">
        <v>293</v>
      </c>
      <c r="C28" s="63">
        <f>+'hoja de gastos'!D35</f>
        <v>6601.07</v>
      </c>
      <c r="D28" s="41"/>
      <c r="E28" s="41" t="s">
        <v>241</v>
      </c>
      <c r="F28" s="41"/>
      <c r="G28" s="63">
        <v>0</v>
      </c>
      <c r="H28" s="41"/>
      <c r="I28" s="72" t="s">
        <v>242</v>
      </c>
      <c r="J28" s="41"/>
      <c r="K28" s="65">
        <v>0</v>
      </c>
    </row>
    <row r="29" spans="1:13" s="28" customFormat="1" ht="20.399999999999999">
      <c r="A29" s="108"/>
      <c r="B29" s="62" t="s">
        <v>294</v>
      </c>
      <c r="C29" s="63"/>
      <c r="D29" s="41"/>
      <c r="E29" s="41" t="s">
        <v>337</v>
      </c>
      <c r="F29" s="41"/>
      <c r="G29" s="63">
        <f>+'hoja de gastos'!D15</f>
        <v>0</v>
      </c>
      <c r="H29" s="41"/>
      <c r="I29" s="75" t="s">
        <v>229</v>
      </c>
      <c r="J29" s="76"/>
      <c r="K29" s="77">
        <v>0</v>
      </c>
      <c r="L29" s="134" t="e">
        <f>SUM(K24:K29)</f>
        <v>#REF!</v>
      </c>
      <c r="M29" s="106">
        <f>IFERROR(+L29/E11,0)</f>
      </c>
    </row>
    <row r="30" spans="1:13" s="130" customFormat="1" ht="16.2" thickBot="1">
      <c r="A30" s="334">
        <f>IFERROR(+D30/E11,0)</f>
      </c>
      <c r="B30" s="413" t="s">
        <v>243</v>
      </c>
      <c r="C30" s="414"/>
      <c r="D30" s="415">
        <f>+C16+C17+C19+C20+C21+C22+C23+C24+C25+C26+C28+C29+G16+G17+G18+G20+G21+G22+G23+G25+G26+G27+G28+G29+K16+K17+K18+K19+K21+K22</f>
        <v>10000.11</v>
      </c>
      <c r="E30" s="415"/>
      <c r="F30" s="337"/>
      <c r="G30" s="337"/>
      <c r="H30" s="337"/>
      <c r="I30" s="337"/>
      <c r="J30" s="337"/>
      <c r="K30" s="338"/>
    </row>
    <row r="31" spans="1:13" s="127" customFormat="1" ht="18.600000000000001">
      <c r="A31" s="108"/>
      <c r="B31" s="416" t="s">
        <v>408</v>
      </c>
      <c r="C31" s="417"/>
      <c r="D31" s="417"/>
      <c r="E31" s="417"/>
      <c r="F31" s="417"/>
      <c r="G31" s="417"/>
      <c r="H31" s="417"/>
      <c r="I31" s="417"/>
      <c r="J31" s="417"/>
      <c r="K31" s="418"/>
    </row>
    <row r="32" spans="1:13" s="28" customFormat="1" ht="6" customHeight="1">
      <c r="A32" s="108"/>
      <c r="B32" s="78"/>
      <c r="C32" s="79"/>
      <c r="D32" s="79"/>
      <c r="E32" s="79"/>
      <c r="F32" s="79"/>
      <c r="G32" s="79"/>
      <c r="H32" s="79"/>
      <c r="I32" s="79"/>
      <c r="J32" s="79"/>
      <c r="K32" s="80"/>
    </row>
    <row r="33" spans="1:11" s="28" customFormat="1">
      <c r="A33" s="108"/>
      <c r="B33" s="52" t="s">
        <v>204</v>
      </c>
      <c r="C33" s="53" t="s">
        <v>244</v>
      </c>
      <c r="D33" s="41"/>
      <c r="E33" s="54" t="s">
        <v>204</v>
      </c>
      <c r="F33" s="407" t="s">
        <v>244</v>
      </c>
      <c r="G33" s="407"/>
      <c r="H33" s="55"/>
      <c r="I33" s="54" t="s">
        <v>204</v>
      </c>
      <c r="J33" s="81"/>
      <c r="K33" s="56" t="s">
        <v>245</v>
      </c>
    </row>
    <row r="34" spans="1:11" s="28" customFormat="1">
      <c r="A34" s="108"/>
      <c r="B34" s="46"/>
      <c r="C34" s="41"/>
      <c r="D34" s="41"/>
      <c r="E34" s="41"/>
      <c r="F34" s="41"/>
      <c r="G34" s="41"/>
      <c r="H34" s="41"/>
      <c r="I34" s="41"/>
      <c r="J34" s="41"/>
      <c r="K34" s="47"/>
    </row>
    <row r="35" spans="1:11" s="28" customFormat="1">
      <c r="A35" s="108"/>
      <c r="B35" s="57" t="s">
        <v>338</v>
      </c>
      <c r="C35" s="58"/>
      <c r="D35" s="41"/>
      <c r="E35" s="82" t="s">
        <v>339</v>
      </c>
      <c r="F35" s="58"/>
      <c r="G35" s="82"/>
      <c r="H35" s="41"/>
      <c r="I35" s="82" t="s">
        <v>340</v>
      </c>
      <c r="J35" s="58"/>
      <c r="K35" s="83"/>
    </row>
    <row r="36" spans="1:11" s="28" customFormat="1">
      <c r="A36" s="108"/>
      <c r="B36" s="46" t="s">
        <v>246</v>
      </c>
      <c r="C36" s="63">
        <v>0</v>
      </c>
      <c r="D36" s="41"/>
      <c r="E36" s="41" t="s">
        <v>247</v>
      </c>
      <c r="F36" s="41"/>
      <c r="G36" s="63">
        <v>0</v>
      </c>
      <c r="H36" s="41"/>
      <c r="I36" s="41" t="s">
        <v>248</v>
      </c>
      <c r="J36" s="41"/>
      <c r="K36" s="65">
        <v>0</v>
      </c>
    </row>
    <row r="37" spans="1:11" s="28" customFormat="1">
      <c r="A37" s="108"/>
      <c r="B37" s="46" t="s">
        <v>249</v>
      </c>
      <c r="C37" s="63">
        <v>0</v>
      </c>
      <c r="D37" s="41"/>
      <c r="E37" s="41" t="s">
        <v>341</v>
      </c>
      <c r="F37" s="41"/>
      <c r="G37" s="63">
        <f>+'hoja de gastos'!D56</f>
        <v>452</v>
      </c>
      <c r="H37" s="41"/>
      <c r="I37" s="41" t="s">
        <v>250</v>
      </c>
      <c r="J37" s="41"/>
      <c r="K37" s="65">
        <v>0</v>
      </c>
    </row>
    <row r="38" spans="1:11" s="28" customFormat="1">
      <c r="A38" s="108"/>
      <c r="B38" s="46" t="s">
        <v>251</v>
      </c>
      <c r="C38" s="63">
        <v>0</v>
      </c>
      <c r="D38" s="41"/>
      <c r="E38" s="41" t="s">
        <v>252</v>
      </c>
      <c r="F38" s="41"/>
      <c r="G38" s="63">
        <v>0</v>
      </c>
      <c r="H38" s="41"/>
      <c r="I38" s="41" t="s">
        <v>253</v>
      </c>
      <c r="J38" s="41"/>
      <c r="K38" s="65">
        <v>0</v>
      </c>
    </row>
    <row r="39" spans="1:11" s="28" customFormat="1">
      <c r="A39" s="108"/>
      <c r="B39" s="57" t="s">
        <v>208</v>
      </c>
      <c r="C39" s="58"/>
      <c r="D39" s="41"/>
      <c r="E39" s="73" t="s">
        <v>298</v>
      </c>
      <c r="F39" s="41"/>
      <c r="G39" s="63">
        <v>0</v>
      </c>
      <c r="H39" s="41"/>
      <c r="I39" s="41" t="s">
        <v>254</v>
      </c>
      <c r="J39" s="41"/>
      <c r="K39" s="65">
        <v>0</v>
      </c>
    </row>
    <row r="40" spans="1:11" s="28" customFormat="1">
      <c r="A40" s="108"/>
      <c r="B40" s="46" t="s">
        <v>255</v>
      </c>
      <c r="C40" s="63">
        <v>0</v>
      </c>
      <c r="D40" s="41"/>
      <c r="E40" s="41" t="s">
        <v>299</v>
      </c>
      <c r="F40" s="41"/>
      <c r="G40" s="63">
        <v>0</v>
      </c>
      <c r="H40" s="41"/>
      <c r="I40" s="41" t="s">
        <v>308</v>
      </c>
      <c r="J40" s="41"/>
      <c r="K40" s="122">
        <f>+'hoja de gastos'!D68</f>
        <v>1061.3</v>
      </c>
    </row>
    <row r="41" spans="1:11" s="28" customFormat="1">
      <c r="A41" s="108"/>
      <c r="B41" s="46" t="s">
        <v>256</v>
      </c>
      <c r="C41" s="63">
        <v>0</v>
      </c>
      <c r="D41" s="41"/>
      <c r="E41" s="41" t="s">
        <v>217</v>
      </c>
      <c r="F41" s="84"/>
      <c r="G41" s="121">
        <v>0</v>
      </c>
      <c r="H41" s="41"/>
      <c r="I41" s="82" t="s">
        <v>342</v>
      </c>
      <c r="J41" s="58"/>
      <c r="K41" s="83"/>
    </row>
    <row r="42" spans="1:11" s="28" customFormat="1">
      <c r="A42" s="108"/>
      <c r="B42" s="46" t="s">
        <v>229</v>
      </c>
      <c r="C42" s="63">
        <v>0</v>
      </c>
      <c r="D42" s="41"/>
      <c r="E42" s="82" t="s">
        <v>344</v>
      </c>
      <c r="F42" s="58"/>
      <c r="G42" s="82"/>
      <c r="H42" s="41"/>
      <c r="I42" s="41" t="s">
        <v>257</v>
      </c>
      <c r="J42" s="41"/>
      <c r="K42" s="65">
        <v>0</v>
      </c>
    </row>
    <row r="43" spans="1:11" s="28" customFormat="1">
      <c r="A43" s="108"/>
      <c r="B43" s="57" t="s">
        <v>343</v>
      </c>
      <c r="C43" s="58"/>
      <c r="D43" s="41"/>
      <c r="E43" s="41" t="s">
        <v>258</v>
      </c>
      <c r="F43" s="41"/>
      <c r="G43" s="63">
        <v>0</v>
      </c>
      <c r="H43" s="41"/>
      <c r="I43" s="41" t="s">
        <v>259</v>
      </c>
      <c r="J43" s="41"/>
      <c r="K43" s="65">
        <v>0</v>
      </c>
    </row>
    <row r="44" spans="1:11" s="28" customFormat="1">
      <c r="A44" s="108"/>
      <c r="B44" s="46" t="s">
        <v>260</v>
      </c>
      <c r="C44" s="63">
        <v>0</v>
      </c>
      <c r="D44" s="41"/>
      <c r="E44" s="41" t="s">
        <v>261</v>
      </c>
      <c r="F44" s="41"/>
      <c r="G44" s="63">
        <v>0</v>
      </c>
      <c r="H44" s="41"/>
      <c r="I44" s="41" t="s">
        <v>229</v>
      </c>
      <c r="J44" s="41"/>
      <c r="K44" s="65">
        <v>0</v>
      </c>
    </row>
    <row r="45" spans="1:11" s="28" customFormat="1">
      <c r="A45" s="108"/>
      <c r="B45" s="46" t="s">
        <v>262</v>
      </c>
      <c r="C45" s="63">
        <v>0</v>
      </c>
      <c r="D45" s="41"/>
      <c r="E45" s="41" t="s">
        <v>263</v>
      </c>
      <c r="F45" s="41"/>
      <c r="G45" s="63">
        <v>0</v>
      </c>
      <c r="H45" s="41"/>
      <c r="I45" s="82" t="s">
        <v>345</v>
      </c>
      <c r="J45" s="58"/>
      <c r="K45" s="83"/>
    </row>
    <row r="46" spans="1:11" s="28" customFormat="1">
      <c r="A46" s="108"/>
      <c r="B46" s="46" t="s">
        <v>264</v>
      </c>
      <c r="C46" s="63">
        <v>0</v>
      </c>
      <c r="D46" s="41"/>
      <c r="E46" s="41" t="s">
        <v>265</v>
      </c>
      <c r="F46" s="41" t="s">
        <v>215</v>
      </c>
      <c r="G46" s="63">
        <v>0</v>
      </c>
      <c r="H46" s="41"/>
      <c r="I46" s="73" t="s">
        <v>266</v>
      </c>
      <c r="J46" s="41"/>
      <c r="K46" s="65">
        <v>0</v>
      </c>
    </row>
    <row r="47" spans="1:11" s="28" customFormat="1">
      <c r="A47" s="108"/>
      <c r="B47" s="46" t="s">
        <v>229</v>
      </c>
      <c r="C47" s="63">
        <v>0</v>
      </c>
      <c r="D47" s="41"/>
      <c r="E47" s="41"/>
      <c r="F47" s="41"/>
      <c r="G47" s="41"/>
      <c r="H47" s="41"/>
      <c r="I47" s="41" t="s">
        <v>267</v>
      </c>
      <c r="J47" s="41"/>
      <c r="K47" s="65">
        <v>0</v>
      </c>
    </row>
    <row r="48" spans="1:11" s="131" customFormat="1" ht="15.6">
      <c r="A48" s="154">
        <f>IFERROR(+D48/E11,0)</f>
      </c>
      <c r="B48" s="419" t="s">
        <v>268</v>
      </c>
      <c r="C48" s="420"/>
      <c r="D48" s="421">
        <f>+C36+C37+C38+C40+C41+C42+C44+C45+C46+C47+G36+G37+G38+G39+G40+G41+G43+G44+G45+G46+K36+K37+K38+K39+K40+K42+K43+K44+K46+K47</f>
        <v>1513.3</v>
      </c>
      <c r="E48" s="421"/>
      <c r="F48" s="335"/>
      <c r="G48" s="335"/>
      <c r="H48" s="335"/>
      <c r="I48" s="335"/>
      <c r="J48" s="335"/>
      <c r="K48" s="336"/>
    </row>
    <row r="49" spans="1:12" s="28" customFormat="1">
      <c r="A49" s="108"/>
      <c r="B49" s="46"/>
      <c r="C49" s="41"/>
      <c r="D49" s="41"/>
      <c r="E49" s="41"/>
      <c r="F49" s="41"/>
      <c r="G49" s="41"/>
      <c r="H49" s="41"/>
      <c r="I49" s="41"/>
      <c r="J49" s="41"/>
      <c r="K49" s="47"/>
    </row>
    <row r="50" spans="1:12" s="28" customFormat="1" ht="14.4" thickBot="1">
      <c r="A50" s="155">
        <f>IFERROR(+D50/B53,0)</f>
      </c>
      <c r="B50" s="422" t="s">
        <v>269</v>
      </c>
      <c r="C50" s="423"/>
      <c r="D50" s="424">
        <f>+D30+D48</f>
        <v>11513.41</v>
      </c>
      <c r="E50" s="425"/>
      <c r="F50" s="132"/>
      <c r="G50" s="132"/>
      <c r="H50" s="132"/>
      <c r="I50" s="132"/>
      <c r="J50" s="132"/>
      <c r="K50" s="133"/>
    </row>
    <row r="51" spans="1:12" s="28" customFormat="1" ht="14.4" thickBot="1">
      <c r="A51" s="108"/>
      <c r="B51" s="85"/>
      <c r="C51" s="86"/>
      <c r="D51" s="87"/>
      <c r="E51" s="88"/>
      <c r="F51" s="89"/>
      <c r="G51" s="89"/>
      <c r="H51" s="89"/>
      <c r="I51" s="89"/>
      <c r="J51" s="89"/>
      <c r="K51" s="90"/>
      <c r="L51" s="51"/>
    </row>
    <row r="52" spans="1:12" s="28" customFormat="1">
      <c r="A52" s="108"/>
      <c r="B52" s="91" t="s">
        <v>270</v>
      </c>
      <c r="C52" s="92"/>
      <c r="D52" s="92"/>
      <c r="E52" s="408" t="s">
        <v>406</v>
      </c>
      <c r="F52" s="408"/>
      <c r="G52" s="408"/>
      <c r="H52" s="93"/>
      <c r="I52" s="93"/>
      <c r="J52" s="93"/>
      <c r="K52" s="94" t="s">
        <v>271</v>
      </c>
    </row>
    <row r="53" spans="1:12" s="28" customFormat="1" ht="14.4" thickBot="1">
      <c r="A53" s="125">
        <f>IFERROR(+E53/E11,0)</f>
      </c>
      <c r="B53" s="432">
        <f>+E11</f>
        <v>11027.68</v>
      </c>
      <c r="C53" s="433"/>
      <c r="D53" s="95"/>
      <c r="E53" s="96">
        <f>+B53*0.5</f>
        <v>5513.84</v>
      </c>
      <c r="F53" s="96"/>
      <c r="G53" s="96"/>
      <c r="H53" s="96"/>
      <c r="I53" s="96"/>
      <c r="J53" s="97"/>
      <c r="K53" s="98">
        <f>+B53-E53</f>
        <v>5513.84</v>
      </c>
      <c r="L53" s="125">
        <f>IFERROR(+K53/E11,0)</f>
      </c>
    </row>
    <row r="54" spans="1:12" s="28" customFormat="1" ht="14.4" thickBot="1">
      <c r="A54" s="108"/>
      <c r="B54" s="99"/>
      <c r="C54" s="100"/>
      <c r="D54" s="100"/>
      <c r="E54" s="101"/>
      <c r="F54" s="102"/>
      <c r="G54" s="102"/>
      <c r="H54" s="102"/>
      <c r="I54" s="102"/>
      <c r="J54" s="100"/>
      <c r="K54" s="101"/>
    </row>
    <row r="55" spans="1:12" s="28" customFormat="1" ht="30" customHeight="1">
      <c r="A55" s="156">
        <f>IFERROR(+D55/E11,0)</f>
      </c>
      <c r="B55" s="434" t="s">
        <v>272</v>
      </c>
      <c r="C55" s="435"/>
      <c r="D55" s="436">
        <f>E11*0.3</f>
        <v>3308.3040000000001</v>
      </c>
      <c r="E55" s="437"/>
      <c r="F55" s="438" t="s">
        <v>273</v>
      </c>
      <c r="G55" s="439"/>
      <c r="H55" s="439"/>
      <c r="I55" s="439"/>
      <c r="J55" s="439"/>
      <c r="K55" s="440"/>
    </row>
    <row r="56" spans="1:12" s="28" customFormat="1" ht="20.100000000000001" customHeight="1">
      <c r="A56" s="125">
        <f>IFERROR(+D56/B53,0)</f>
      </c>
      <c r="B56" s="444" t="s">
        <v>274</v>
      </c>
      <c r="C56" s="445"/>
      <c r="D56" s="446" t="e">
        <f>SUM(K24:K29)</f>
        <v>#REF!</v>
      </c>
      <c r="E56" s="446"/>
      <c r="F56" s="441"/>
      <c r="G56" s="442"/>
      <c r="H56" s="442"/>
      <c r="I56" s="442"/>
      <c r="J56" s="442"/>
      <c r="K56" s="443"/>
    </row>
    <row r="57" spans="1:12" s="28" customFormat="1" ht="30" customHeight="1">
      <c r="A57" s="108"/>
      <c r="B57" s="426" t="s">
        <v>275</v>
      </c>
      <c r="C57" s="427"/>
      <c r="D57" s="427"/>
      <c r="E57" s="427"/>
      <c r="F57" s="427"/>
      <c r="G57" s="427"/>
      <c r="H57" s="427"/>
      <c r="I57" s="427"/>
      <c r="J57" s="427"/>
      <c r="K57" s="428"/>
    </row>
    <row r="58" spans="1:12" s="28" customFormat="1" ht="30" customHeight="1" thickBot="1">
      <c r="A58" s="108"/>
      <c r="B58" s="429"/>
      <c r="C58" s="430"/>
      <c r="D58" s="430"/>
      <c r="E58" s="430"/>
      <c r="F58" s="430"/>
      <c r="G58" s="430"/>
      <c r="H58" s="430"/>
      <c r="I58" s="430"/>
      <c r="J58" s="430"/>
      <c r="K58" s="431"/>
    </row>
    <row r="59" spans="1:12" s="28" customFormat="1">
      <c r="A59" s="108"/>
      <c r="B59" s="103"/>
      <c r="C59" s="103"/>
      <c r="D59" s="103"/>
      <c r="E59" s="103"/>
      <c r="F59" s="89"/>
      <c r="G59" s="89"/>
    </row>
    <row r="60" spans="1:12" s="28" customFormat="1">
      <c r="A60" s="108"/>
      <c r="B60" s="103"/>
      <c r="C60" s="103"/>
      <c r="D60" s="103"/>
      <c r="E60" s="103"/>
      <c r="F60" s="89"/>
      <c r="G60" s="89"/>
    </row>
    <row r="61" spans="1:12" s="28" customFormat="1">
      <c r="A61" s="108"/>
      <c r="B61" s="89"/>
      <c r="C61" s="89"/>
      <c r="D61" s="89"/>
      <c r="E61" s="89"/>
      <c r="F61" s="89"/>
      <c r="G61" s="89"/>
    </row>
    <row r="62" spans="1:12" s="28" customFormat="1">
      <c r="A62" s="108"/>
      <c r="B62" s="89"/>
      <c r="C62" s="89"/>
      <c r="D62" s="89"/>
      <c r="E62" s="89"/>
      <c r="F62" s="89"/>
      <c r="G62" s="89"/>
    </row>
    <row r="63" spans="1:12" s="28" customFormat="1">
      <c r="A63" s="108"/>
    </row>
    <row r="64" spans="1:12" s="28" customFormat="1">
      <c r="A64" s="108"/>
    </row>
    <row r="65" spans="1:1" s="28" customFormat="1">
      <c r="A65" s="108"/>
    </row>
    <row r="66" spans="1:1" s="28" customFormat="1">
      <c r="A66" s="108"/>
    </row>
    <row r="67" spans="1:1" s="28" customFormat="1">
      <c r="A67" s="108"/>
    </row>
    <row r="68" spans="1:1" s="28" customFormat="1">
      <c r="A68" s="108"/>
    </row>
    <row r="69" spans="1:1" s="28" customFormat="1">
      <c r="A69" s="108"/>
    </row>
    <row r="70" spans="1:1" s="28" customFormat="1">
      <c r="A70" s="108"/>
    </row>
    <row r="71" spans="1:1" s="28" customFormat="1">
      <c r="A71" s="108"/>
    </row>
    <row r="72" spans="1:1" s="28" customFormat="1">
      <c r="A72" s="108"/>
    </row>
    <row r="73" spans="1:1" s="28" customFormat="1">
      <c r="A73" s="108"/>
    </row>
    <row r="74" spans="1:1" s="28" customFormat="1">
      <c r="A74" s="108"/>
    </row>
    <row r="75" spans="1:1" s="28" customFormat="1">
      <c r="A75" s="108"/>
    </row>
    <row r="76" spans="1:1" s="28" customFormat="1">
      <c r="A76" s="108"/>
    </row>
    <row r="77" spans="1:1" s="28" customFormat="1">
      <c r="A77" s="108"/>
    </row>
    <row r="78" spans="1:1" s="28" customFormat="1">
      <c r="A78" s="108"/>
    </row>
    <row r="79" spans="1:1" s="28" customFormat="1">
      <c r="A79" s="108"/>
    </row>
    <row r="80" spans="1:1" s="28" customFormat="1">
      <c r="A80" s="108"/>
    </row>
    <row r="81" spans="1:1" s="28" customFormat="1">
      <c r="A81" s="108"/>
    </row>
    <row r="82" spans="1:1" s="28" customFormat="1">
      <c r="A82" s="108"/>
    </row>
    <row r="83" spans="1:1" s="28" customFormat="1">
      <c r="A83" s="108"/>
    </row>
    <row r="84" spans="1:1" s="28" customFormat="1">
      <c r="A84" s="108"/>
    </row>
    <row r="85" spans="1:1" s="28" customFormat="1">
      <c r="A85" s="108"/>
    </row>
    <row r="86" spans="1:1" s="28" customFormat="1">
      <c r="A86" s="108"/>
    </row>
    <row r="87" spans="1:1" s="28" customFormat="1">
      <c r="A87" s="108"/>
    </row>
    <row r="88" spans="1:1" s="28" customFormat="1">
      <c r="A88" s="108"/>
    </row>
    <row r="89" spans="1:1" s="28" customFormat="1">
      <c r="A89" s="108"/>
    </row>
    <row r="90" spans="1:1" s="28" customFormat="1">
      <c r="A90" s="108"/>
    </row>
    <row r="91" spans="1:1" s="28" customFormat="1">
      <c r="A91" s="108"/>
    </row>
    <row r="92" spans="1:1" s="28" customFormat="1">
      <c r="A92" s="108"/>
    </row>
    <row r="93" spans="1:1" s="28" customFormat="1">
      <c r="A93" s="108"/>
    </row>
    <row r="94" spans="1:1" s="28" customFormat="1">
      <c r="A94" s="108"/>
    </row>
    <row r="95" spans="1:1" s="28" customFormat="1">
      <c r="A95" s="108"/>
    </row>
    <row r="96" spans="1:1" s="28" customFormat="1">
      <c r="A96" s="108"/>
    </row>
    <row r="97" spans="1:1" s="28" customFormat="1">
      <c r="A97" s="108"/>
    </row>
    <row r="98" spans="1:1" s="28" customFormat="1">
      <c r="A98" s="108"/>
    </row>
    <row r="99" spans="1:1" s="28" customFormat="1">
      <c r="A99" s="108"/>
    </row>
    <row r="100" spans="1:1" s="28" customFormat="1">
      <c r="A100" s="108"/>
    </row>
    <row r="101" spans="1:1" s="28" customFormat="1">
      <c r="A101" s="108"/>
    </row>
    <row r="102" spans="1:1" s="28" customFormat="1">
      <c r="A102" s="108"/>
    </row>
    <row r="103" spans="1:1" s="28" customFormat="1">
      <c r="A103" s="108"/>
    </row>
    <row r="104" spans="1:1" s="28" customFormat="1">
      <c r="A104" s="108"/>
    </row>
    <row r="105" spans="1:1" s="28" customFormat="1">
      <c r="A105" s="108"/>
    </row>
    <row r="106" spans="1:1" s="28" customFormat="1">
      <c r="A106" s="108"/>
    </row>
    <row r="107" spans="1:1" s="28" customFormat="1">
      <c r="A107" s="108"/>
    </row>
    <row r="108" spans="1:1" s="28" customFormat="1">
      <c r="A108" s="108"/>
    </row>
    <row r="109" spans="1:1" s="28" customFormat="1">
      <c r="A109" s="108"/>
    </row>
    <row r="110" spans="1:1" s="28" customFormat="1">
      <c r="A110" s="108"/>
    </row>
    <row r="111" spans="1:1" s="28" customFormat="1">
      <c r="A111" s="108"/>
    </row>
    <row r="112" spans="1:1" s="28" customFormat="1">
      <c r="A112" s="108"/>
    </row>
    <row r="113" spans="1:10" s="28" customFormat="1">
      <c r="A113" s="108"/>
    </row>
    <row r="114" spans="1:10" s="28" customFormat="1">
      <c r="A114" s="108"/>
    </row>
    <row r="115" spans="1:10" s="28" customFormat="1">
      <c r="A115" s="108"/>
    </row>
    <row r="116" spans="1:10" s="28" customFormat="1">
      <c r="A116" s="108"/>
    </row>
    <row r="117" spans="1:10" s="28" customFormat="1">
      <c r="A117" s="108"/>
    </row>
    <row r="118" spans="1:10" s="28" customFormat="1">
      <c r="A118" s="108"/>
    </row>
    <row r="119" spans="1:10" s="28" customFormat="1">
      <c r="A119" s="108"/>
    </row>
    <row r="120" spans="1:10" s="28" customFormat="1">
      <c r="A120" s="108"/>
    </row>
    <row r="121" spans="1:10" s="28" customFormat="1">
      <c r="A121" s="108"/>
    </row>
    <row r="122" spans="1:10">
      <c r="A122" s="108"/>
      <c r="B122" s="28"/>
      <c r="C122" s="28"/>
      <c r="D122" s="28"/>
      <c r="E122" s="28"/>
      <c r="F122" s="28"/>
      <c r="G122" s="28"/>
      <c r="H122" s="28"/>
      <c r="I122" s="28"/>
      <c r="J122" s="28"/>
    </row>
    <row r="123" spans="1:10">
      <c r="A123" s="108"/>
      <c r="B123" s="28"/>
      <c r="C123" s="28"/>
      <c r="D123" s="28"/>
      <c r="E123" s="28"/>
      <c r="F123" s="28"/>
      <c r="G123" s="28"/>
      <c r="H123" s="28"/>
      <c r="I123" s="28"/>
      <c r="J123" s="28"/>
    </row>
    <row r="130" spans="9:9">
      <c r="I130" s="104"/>
    </row>
  </sheetData>
  <mergeCells count="37">
    <mergeCell ref="B57:K58"/>
    <mergeCell ref="B53:C53"/>
    <mergeCell ref="B55:C55"/>
    <mergeCell ref="D55:E55"/>
    <mergeCell ref="F55:K56"/>
    <mergeCell ref="B56:C56"/>
    <mergeCell ref="D56:E56"/>
    <mergeCell ref="E52:G52"/>
    <mergeCell ref="I25:J25"/>
    <mergeCell ref="I26:J26"/>
    <mergeCell ref="I27:J27"/>
    <mergeCell ref="B30:C30"/>
    <mergeCell ref="D30:E30"/>
    <mergeCell ref="B31:K31"/>
    <mergeCell ref="F33:G33"/>
    <mergeCell ref="B48:C48"/>
    <mergeCell ref="D48:E48"/>
    <mergeCell ref="B50:C50"/>
    <mergeCell ref="D50:E50"/>
    <mergeCell ref="F24:G24"/>
    <mergeCell ref="B7:C7"/>
    <mergeCell ref="G7:I7"/>
    <mergeCell ref="B8:C8"/>
    <mergeCell ref="G8:I8"/>
    <mergeCell ref="B9:C9"/>
    <mergeCell ref="G9:I9"/>
    <mergeCell ref="B11:C11"/>
    <mergeCell ref="B12:K12"/>
    <mergeCell ref="F13:G13"/>
    <mergeCell ref="F15:G15"/>
    <mergeCell ref="F19:G19"/>
    <mergeCell ref="B5:K5"/>
    <mergeCell ref="C2:G2"/>
    <mergeCell ref="I2:K2"/>
    <mergeCell ref="C3:G3"/>
    <mergeCell ref="I3:I4"/>
    <mergeCell ref="K3:K4"/>
  </mergeCells>
  <conditionalFormatting sqref="D56:E56">
    <cfRule type="colorScale" priority="1">
      <colorScale>
        <cfvo type="formula" val="$D$55"/>
        <cfvo type="formula" val="$D$55"/>
        <cfvo type="formula" val="$D$55"/>
        <color theme="6" tint="-0.249977111117893"/>
        <color rgb="FFFFEB84"/>
        <color rgb="FFFF0000"/>
      </colorScale>
    </cfRule>
  </conditionalFormatting>
  <dataValidations count="1">
    <dataValidation type="list" allowBlank="1" showInputMessage="1" showErrorMessage="1" sqref="K3" xr:uid="{00000000-0002-0000-0300-000000000000}">
      <formula1>$M$3:$M$13</formula1>
    </dataValidation>
  </dataValidations>
  <pageMargins left="0.25" right="0.25" top="0.75" bottom="0.75" header="0.3" footer="0.3"/>
  <pageSetup scale="33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M19"/>
  <sheetViews>
    <sheetView showGridLines="0" topLeftCell="A13" workbookViewId="0">
      <selection activeCell="C19" sqref="C19"/>
    </sheetView>
  </sheetViews>
  <sheetFormatPr baseColWidth="10" defaultRowHeight="14.4"/>
  <cols>
    <col min="1" max="1" width="2.6640625" customWidth="1"/>
    <col min="2" max="2" width="24" bestFit="1" customWidth="1"/>
    <col min="3" max="3" width="14.6640625" customWidth="1"/>
    <col min="4" max="4" width="14.6640625" style="3" customWidth="1"/>
    <col min="5" max="5" width="14.6640625" customWidth="1"/>
    <col min="6" max="6" width="8.6640625" customWidth="1"/>
    <col min="7" max="8" width="11.109375" bestFit="1" customWidth="1"/>
  </cols>
  <sheetData>
    <row r="1" spans="1:13" s="123" customFormat="1" ht="39.9" customHeight="1">
      <c r="B1" s="123" t="s">
        <v>357</v>
      </c>
      <c r="D1" s="124"/>
    </row>
    <row r="2" spans="1:13" ht="25.8">
      <c r="H2" s="352" t="s">
        <v>279</v>
      </c>
      <c r="I2" s="148"/>
      <c r="J2" s="148"/>
      <c r="K2" s="148"/>
      <c r="L2" s="148"/>
      <c r="M2" s="148"/>
    </row>
    <row r="3" spans="1:13" s="108" customFormat="1" ht="39.9" customHeight="1">
      <c r="B3" s="447" t="s">
        <v>346</v>
      </c>
      <c r="C3" s="159" t="s">
        <v>349</v>
      </c>
      <c r="D3" s="159" t="s">
        <v>349</v>
      </c>
      <c r="E3" s="159" t="s">
        <v>350</v>
      </c>
      <c r="F3" s="159" t="s">
        <v>350</v>
      </c>
      <c r="G3" s="160" t="s">
        <v>353</v>
      </c>
      <c r="H3" s="159" t="s">
        <v>353</v>
      </c>
      <c r="I3" s="88"/>
      <c r="J3" s="88"/>
      <c r="K3" s="88"/>
      <c r="L3" s="88"/>
      <c r="M3" s="88"/>
    </row>
    <row r="4" spans="1:13" s="28" customFormat="1" ht="39.9" customHeight="1">
      <c r="A4" s="108"/>
      <c r="B4" s="448"/>
      <c r="C4" s="159" t="s">
        <v>354</v>
      </c>
      <c r="D4" s="159" t="s">
        <v>13</v>
      </c>
      <c r="E4" s="159" t="s">
        <v>354</v>
      </c>
      <c r="F4" s="159" t="s">
        <v>13</v>
      </c>
      <c r="G4" s="160" t="s">
        <v>13</v>
      </c>
      <c r="H4" s="161" t="s">
        <v>354</v>
      </c>
      <c r="I4" s="149"/>
      <c r="J4" s="149"/>
      <c r="K4" s="149"/>
      <c r="L4" s="149"/>
      <c r="M4" s="89"/>
    </row>
    <row r="5" spans="1:13" s="142" customFormat="1" ht="13.8">
      <c r="A5" s="139"/>
      <c r="B5" s="157" t="s">
        <v>347</v>
      </c>
      <c r="C5" s="140">
        <f>+C11*0.5</f>
        <v>5513.84</v>
      </c>
      <c r="D5" s="143">
        <f>IFERROR(+C5/C11,0)</f>
      </c>
      <c r="E5" s="141">
        <f>+'hoja de gastos'!D45</f>
        <v>10000.11</v>
      </c>
      <c r="F5" s="143">
        <f>IFERROR(+E5/C11,0)</f>
      </c>
      <c r="G5" s="143">
        <f>+D5-F5</f>
        <v>-0.40681902267748071</v>
      </c>
      <c r="H5" s="147">
        <f>+C5-E5</f>
        <v>-4486.2700000000004</v>
      </c>
      <c r="I5" s="150"/>
      <c r="J5" s="150"/>
      <c r="K5" s="150"/>
      <c r="L5" s="150"/>
      <c r="M5" s="151"/>
    </row>
    <row r="6" spans="1:13" s="142" customFormat="1" ht="13.8">
      <c r="A6" s="139"/>
      <c r="B6" s="158" t="s">
        <v>348</v>
      </c>
      <c r="C6" s="140">
        <f>+C11*0.2</f>
        <v>2205.5360000000001</v>
      </c>
      <c r="D6" s="143">
        <f>IFERROR(+C6/C11,0)</f>
      </c>
      <c r="E6" s="141">
        <f>+'hoja de gastos'!D75</f>
        <v>1513.3</v>
      </c>
      <c r="F6" s="143">
        <f>IFERROR(+E6/C11,0)</f>
      </c>
      <c r="G6" s="143">
        <f>+D6-F6</f>
        <v>6.2772586799762081E-2</v>
      </c>
      <c r="H6" s="147">
        <f>+C6-E6</f>
        <v>692.2360000000001</v>
      </c>
      <c r="I6" s="150"/>
      <c r="J6" s="150"/>
      <c r="K6" s="150"/>
      <c r="L6" s="150"/>
      <c r="M6" s="151"/>
    </row>
    <row r="7" spans="1:13" s="142" customFormat="1" ht="13.8">
      <c r="A7" s="139"/>
      <c r="B7" s="351" t="s">
        <v>319</v>
      </c>
      <c r="C7" s="140">
        <f>+C11*0.3</f>
        <v>3308.3040000000001</v>
      </c>
      <c r="D7" s="143">
        <f>IFERROR(+C7/C11,0)</f>
      </c>
      <c r="E7" s="141">
        <f>+'hoja de gastos'!D94</f>
        <v>3829</v>
      </c>
      <c r="F7" s="143">
        <f>IFERROR(+E7/C11,0)</f>
      </c>
      <c r="G7" s="143">
        <f>+D7-F7</f>
        <v>-4.721718439417899E-2</v>
      </c>
      <c r="H7" s="147">
        <f>+C7-E7</f>
        <v>-520.69599999999991</v>
      </c>
      <c r="I7" s="150"/>
      <c r="J7" s="150"/>
      <c r="K7" s="150"/>
      <c r="L7" s="150"/>
      <c r="M7" s="151"/>
    </row>
    <row r="8" spans="1:13" s="28" customFormat="1" ht="13.8">
      <c r="A8" s="125"/>
      <c r="B8" s="126" t="s">
        <v>355</v>
      </c>
      <c r="C8" s="135">
        <f>+C11*0.2</f>
        <v>2205.5360000000001</v>
      </c>
      <c r="D8" s="164">
        <f>IFERROR(+C8/C13,0)</f>
      </c>
      <c r="E8" s="137"/>
      <c r="F8" s="164"/>
      <c r="G8" s="165"/>
      <c r="H8" s="146"/>
      <c r="I8" s="149"/>
      <c r="J8" s="149"/>
      <c r="K8" s="149"/>
      <c r="L8" s="149"/>
      <c r="M8" s="89"/>
    </row>
    <row r="9" spans="1:13" s="28" customFormat="1" ht="13.8">
      <c r="A9" s="125"/>
      <c r="B9" s="126" t="s">
        <v>351</v>
      </c>
      <c r="C9" s="135">
        <f>+C11*0.05</f>
        <v>551.38400000000001</v>
      </c>
      <c r="D9" s="146"/>
      <c r="E9" s="126"/>
      <c r="F9" s="145"/>
      <c r="G9" s="136"/>
      <c r="H9" s="146"/>
      <c r="I9" s="149"/>
      <c r="J9" s="149"/>
      <c r="K9" s="149"/>
      <c r="L9" s="149"/>
      <c r="M9" s="89"/>
    </row>
    <row r="10" spans="1:13" s="28" customFormat="1" ht="13.8">
      <c r="A10" s="125"/>
      <c r="B10" s="126" t="s">
        <v>352</v>
      </c>
      <c r="C10" s="135">
        <f>+C11*0.05</f>
        <v>551.38400000000001</v>
      </c>
      <c r="D10" s="146"/>
      <c r="E10" s="126"/>
      <c r="F10" s="145"/>
      <c r="G10" s="136"/>
      <c r="H10" s="146"/>
      <c r="I10" s="149"/>
      <c r="J10" s="149"/>
      <c r="K10" s="149"/>
      <c r="L10" s="149"/>
      <c r="M10" s="89"/>
    </row>
    <row r="11" spans="1:13" s="28" customFormat="1" ht="39.9" customHeight="1">
      <c r="A11" s="125"/>
      <c r="B11" s="162"/>
      <c r="C11" s="161">
        <f>+ingresos!H32</f>
        <v>11027.68</v>
      </c>
      <c r="D11" s="160">
        <f>SUM(D5:D7)</f>
        <v>1</v>
      </c>
      <c r="E11" s="163">
        <f>+E5+E6+E7</f>
        <v>15342.41</v>
      </c>
      <c r="F11" s="160">
        <f>SUM(F5:F7)</f>
        <v>1.3912636202718975</v>
      </c>
      <c r="G11" s="160">
        <f>SUM(G5:G10)</f>
        <v>-0.39126362027189765</v>
      </c>
      <c r="H11" s="161">
        <f>+H5+H6+H7</f>
        <v>-4314.7300000000005</v>
      </c>
      <c r="I11" s="89"/>
      <c r="J11" s="89"/>
      <c r="K11" s="89"/>
      <c r="L11" s="89"/>
      <c r="M11" s="89"/>
    </row>
    <row r="12" spans="1:13" s="28" customFormat="1" ht="13.8">
      <c r="A12" s="108"/>
      <c r="D12" s="108"/>
      <c r="I12" s="89"/>
      <c r="J12" s="89"/>
      <c r="K12" s="89"/>
      <c r="L12" s="89"/>
      <c r="M12" s="89"/>
    </row>
    <row r="13" spans="1:13" s="28" customFormat="1" ht="13.8">
      <c r="A13" s="108"/>
      <c r="C13" s="138">
        <f>+C5+C6+C7</f>
        <v>11027.68</v>
      </c>
      <c r="D13" s="152"/>
      <c r="E13" s="51"/>
      <c r="I13" s="89"/>
      <c r="J13" s="89"/>
      <c r="K13" s="89"/>
      <c r="L13" s="89"/>
      <c r="M13" s="89"/>
    </row>
    <row r="14" spans="1:13">
      <c r="C14" s="144"/>
      <c r="D14" s="153"/>
    </row>
    <row r="16" spans="1:13">
      <c r="B16" t="s">
        <v>356</v>
      </c>
    </row>
    <row r="17" spans="2:3">
      <c r="B17" t="s">
        <v>358</v>
      </c>
      <c r="C17" s="144">
        <f>+C5*3</f>
        <v>16541.52</v>
      </c>
    </row>
    <row r="18" spans="2:3">
      <c r="B18" t="s">
        <v>359</v>
      </c>
      <c r="C18" s="144">
        <f>+C5*6</f>
        <v>33083.040000000001</v>
      </c>
    </row>
    <row r="19" spans="2:3">
      <c r="C19" s="144"/>
    </row>
  </sheetData>
  <mergeCells count="1">
    <mergeCell ref="B3:B4"/>
  </mergeCells>
  <conditionalFormatting sqref="F5">
    <cfRule type="top10" priority="4" percent="1" rank="50"/>
  </conditionalFormatting>
  <pageMargins left="0.25" right="0.25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A64A530D-62D6-4E8A-84C5-5E1687B8F11B}">
            <x14:iconSet iconSet="3TrafficLights2" custom="1">
              <x14:cfvo type="percent">
                <xm:f>0</xm:f>
              </x14:cfvo>
              <x14:cfvo type="percent">
                <xm:f>50</xm:f>
              </x14:cfvo>
              <x14:cfvo type="percent">
                <xm:f>50</xm:f>
              </x14:cfvo>
              <x14:cfIcon iconSet="3TrafficLights2" iconId="2"/>
              <x14:cfIcon iconSet="3TrafficLights2" iconId="1"/>
              <x14:cfIcon iconSet="3TrafficLights2" iconId="0"/>
            </x14:iconSet>
          </x14:cfRule>
          <xm:sqref>F5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J64"/>
  <sheetViews>
    <sheetView topLeftCell="A4" workbookViewId="0">
      <selection activeCell="J5" sqref="J5"/>
    </sheetView>
  </sheetViews>
  <sheetFormatPr baseColWidth="10" defaultRowHeight="14.4"/>
  <cols>
    <col min="2" max="2" width="12" customWidth="1"/>
    <col min="3" max="3" width="11.88671875" bestFit="1" customWidth="1"/>
    <col min="4" max="4" width="12" customWidth="1"/>
    <col min="5" max="5" width="12.5546875" bestFit="1" customWidth="1"/>
    <col min="7" max="7" width="12" customWidth="1"/>
    <col min="8" max="8" width="8.6640625" customWidth="1"/>
    <col min="9" max="9" width="14.88671875" bestFit="1" customWidth="1"/>
    <col min="10" max="10" width="12" customWidth="1"/>
  </cols>
  <sheetData>
    <row r="1" spans="2:10">
      <c r="B1" s="451" t="s">
        <v>374</v>
      </c>
      <c r="C1" s="451"/>
      <c r="D1" s="451"/>
      <c r="E1" s="451"/>
      <c r="F1" s="451"/>
      <c r="G1" s="451"/>
      <c r="H1" s="451"/>
      <c r="I1" s="451"/>
      <c r="J1" s="451"/>
    </row>
    <row r="2" spans="2:10">
      <c r="B2" s="451"/>
      <c r="C2" s="451"/>
      <c r="D2" s="451"/>
      <c r="E2" s="451"/>
      <c r="F2" s="451"/>
      <c r="G2" s="451"/>
      <c r="H2" s="451"/>
      <c r="I2" s="451"/>
      <c r="J2" s="451"/>
    </row>
    <row r="4" spans="2:10">
      <c r="B4" s="449" t="s">
        <v>370</v>
      </c>
      <c r="C4" s="449"/>
      <c r="D4" s="449"/>
      <c r="E4" s="449"/>
      <c r="G4" s="450" t="s">
        <v>371</v>
      </c>
      <c r="H4" s="450"/>
      <c r="I4" s="450"/>
      <c r="J4" s="450"/>
    </row>
    <row r="5" spans="2:10">
      <c r="B5" s="123"/>
      <c r="C5" s="123"/>
      <c r="D5" s="340" t="s">
        <v>281</v>
      </c>
      <c r="E5" s="341">
        <f>SUM(E8:E64)</f>
        <v>11187.18</v>
      </c>
      <c r="G5" s="123"/>
      <c r="H5" s="123"/>
      <c r="I5" s="340" t="s">
        <v>281</v>
      </c>
      <c r="J5" s="347">
        <f>SUM(J8:J31)</f>
        <v>15342.41</v>
      </c>
    </row>
    <row r="6" spans="2:10">
      <c r="G6" s="123"/>
      <c r="H6" s="123"/>
      <c r="I6" s="123"/>
      <c r="J6" s="123"/>
    </row>
    <row r="7" spans="2:10" s="3" customFormat="1">
      <c r="B7" s="3" t="s">
        <v>364</v>
      </c>
      <c r="C7" s="168" t="s">
        <v>366</v>
      </c>
      <c r="D7" s="3" t="s">
        <v>277</v>
      </c>
      <c r="E7" s="168" t="s">
        <v>365</v>
      </c>
      <c r="G7" s="3" t="s">
        <v>364</v>
      </c>
      <c r="H7" s="168" t="s">
        <v>366</v>
      </c>
      <c r="I7" s="3" t="s">
        <v>277</v>
      </c>
      <c r="J7" s="168" t="s">
        <v>365</v>
      </c>
    </row>
    <row r="8" spans="2:10">
      <c r="B8" s="166">
        <v>45657</v>
      </c>
      <c r="C8" s="169">
        <f>IFERROR(IF(B8="","",MONTH(B8)),"")</f>
      </c>
      <c r="D8" s="169" t="s">
        <v>367</v>
      </c>
      <c r="E8" s="167"/>
      <c r="G8" s="166">
        <v>45322</v>
      </c>
      <c r="H8" s="169">
        <v>1</v>
      </c>
      <c r="I8" s="3" t="str">
        <f>+'hoja de gastos'!$B$4</f>
        <v>servicios</v>
      </c>
      <c r="J8" s="167">
        <f>+'hoja de gastos'!D$16</f>
        <v>2373.04</v>
      </c>
    </row>
    <row r="9" spans="2:10">
      <c r="B9" s="166"/>
      <c r="C9" s="169">
        <f>IFERROR(IF(B9="","",MONTH(B9)),"")</f>
      </c>
      <c r="D9" s="169" t="str">
        <f t="shared" ref="D9:D11" si="0">+D8</f>
        <v>salario</v>
      </c>
      <c r="E9" s="167"/>
      <c r="G9" s="166">
        <v>45322</v>
      </c>
      <c r="H9" s="169">
        <f>+H8</f>
        <v>1</v>
      </c>
      <c r="I9" s="339" t="str">
        <f>+'hoja de gastos'!A17</f>
        <v>alimentos</v>
      </c>
      <c r="J9" s="345">
        <f>+'hoja de gastos'!D$35</f>
        <v>6601.07</v>
      </c>
    </row>
    <row r="10" spans="2:10">
      <c r="B10" s="166"/>
      <c r="C10" s="169">
        <f>IFERROR(IF(B10="","",MONTH(B10)),"")</f>
      </c>
      <c r="D10" s="169" t="str">
        <f t="shared" si="0"/>
        <v>salario</v>
      </c>
      <c r="E10" s="167"/>
      <c r="G10" s="166">
        <v>45322</v>
      </c>
      <c r="H10" s="169">
        <f>+H9</f>
        <v>1</v>
      </c>
      <c r="I10" s="339" t="str">
        <f>+'hoja de gastos'!A36</f>
        <v>transportes</v>
      </c>
      <c r="J10" s="167">
        <f>+'hoja de gastos'!D$39</f>
        <v>1026</v>
      </c>
    </row>
    <row r="11" spans="2:10">
      <c r="B11" s="166"/>
      <c r="C11" s="169">
        <f>IFERROR(IF(B11="","",MONTH(B11)),"")</f>
      </c>
      <c r="D11" s="169" t="str">
        <f t="shared" si="0"/>
        <v>salario</v>
      </c>
      <c r="E11" s="167"/>
      <c r="G11" s="166">
        <v>45322</v>
      </c>
      <c r="H11" s="169">
        <f>+H10</f>
        <v>1</v>
      </c>
      <c r="I11" s="339" t="str">
        <f>+'hoja de gastos'!A41</f>
        <v>salud</v>
      </c>
      <c r="J11" s="167">
        <f>+'hoja de gastos'!D$44</f>
        <v>0</v>
      </c>
    </row>
    <row r="12" spans="2:10">
      <c r="B12" s="166"/>
      <c r="C12" s="169">
        <f>IFERROR(IF(B12="","",MONTH(B12)),"")</f>
      </c>
      <c r="D12" s="169" t="str">
        <f t="shared" ref="D12:D17" si="1">+D11</f>
        <v>salario</v>
      </c>
      <c r="E12" s="167"/>
      <c r="G12" s="166">
        <v>45322</v>
      </c>
      <c r="H12" s="169">
        <v>1</v>
      </c>
      <c r="I12" s="339" t="str">
        <f>+'hoja de gastos'!A48</f>
        <v>recreacion</v>
      </c>
      <c r="J12" s="167">
        <f>+'hoja de gastos'!D$56</f>
        <v>452</v>
      </c>
    </row>
    <row r="13" spans="2:10">
      <c r="B13" s="166">
        <v>45626</v>
      </c>
      <c r="C13" s="169">
        <f>IFERROR(IF(B13="","",MONTH(B13)),"")</f>
      </c>
      <c r="D13" s="169" t="str">
        <f t="shared" si="1"/>
        <v>salario</v>
      </c>
      <c r="E13" s="167"/>
      <c r="G13" s="166">
        <v>45322</v>
      </c>
      <c r="H13" s="169">
        <v>1</v>
      </c>
      <c r="I13" s="339" t="str">
        <f>+'hoja de gastos'!A57</f>
        <v>g personales</v>
      </c>
      <c r="J13" s="167">
        <f>+'hoja de gastos'!D$68</f>
        <v>1061.3</v>
      </c>
    </row>
    <row r="14" spans="2:10">
      <c r="B14" s="166"/>
      <c r="C14" s="169">
        <f>IFERROR(IF(B14="","",MONTH(B14)),"")</f>
      </c>
      <c r="D14" s="169" t="str">
        <f t="shared" si="1"/>
        <v>salario</v>
      </c>
      <c r="E14" s="167"/>
      <c r="G14" s="166">
        <v>45322</v>
      </c>
      <c r="H14" s="169">
        <v>1</v>
      </c>
      <c r="I14" s="339" t="str">
        <f>+'hoja de gastos'!A69</f>
        <v>cumpleaños</v>
      </c>
      <c r="J14" s="167">
        <f>+'hoja de gastos'!D$74</f>
        <v>0</v>
      </c>
    </row>
    <row r="15" spans="2:10">
      <c r="B15" s="166"/>
      <c r="C15" s="169">
        <f>IFERROR(IF(B15="","",MONTH(B15)),"")</f>
      </c>
      <c r="D15" s="169" t="str">
        <f t="shared" si="1"/>
        <v>salario</v>
      </c>
      <c r="E15" s="167"/>
      <c r="G15" s="166">
        <v>45351</v>
      </c>
      <c r="H15" s="169">
        <v>2</v>
      </c>
      <c r="I15" s="3" t="str">
        <f t="shared" ref="I15:I21" si="2">+I8</f>
        <v>servicios</v>
      </c>
      <c r="J15" s="167"/>
    </row>
    <row r="16" spans="2:10">
      <c r="B16" s="166"/>
      <c r="C16" s="169">
        <f>IFERROR(IF(B16="","",MONTH(B16)),"")</f>
      </c>
      <c r="D16" s="169" t="str">
        <f t="shared" si="1"/>
        <v>salario</v>
      </c>
      <c r="E16" s="167"/>
      <c r="G16" s="166">
        <v>45351</v>
      </c>
      <c r="H16" s="169">
        <v>2</v>
      </c>
      <c r="I16" s="339" t="str">
        <f t="shared" si="2"/>
        <v>alimentos</v>
      </c>
      <c r="J16" s="345"/>
    </row>
    <row r="17" spans="2:10">
      <c r="B17" s="166"/>
      <c r="C17" s="169">
        <f>IFERROR(IF(B17="","",MONTH(B17)),"")</f>
      </c>
      <c r="D17" s="169" t="str">
        <f t="shared" si="1"/>
        <v>salario</v>
      </c>
      <c r="E17" s="167"/>
      <c r="G17" s="166">
        <v>45351</v>
      </c>
      <c r="H17" s="169">
        <v>2</v>
      </c>
      <c r="I17" s="339" t="str">
        <f t="shared" si="2"/>
        <v>transportes</v>
      </c>
      <c r="J17" s="167"/>
    </row>
    <row r="18" spans="2:10">
      <c r="B18" s="166"/>
      <c r="C18" s="169">
        <f>IFERROR(IF(B18="","",MONTH(B18)),"")</f>
      </c>
      <c r="D18" s="169" t="s">
        <v>367</v>
      </c>
      <c r="E18" s="167"/>
      <c r="G18" s="166">
        <v>45351</v>
      </c>
      <c r="H18" s="169">
        <v>2</v>
      </c>
      <c r="I18" s="339" t="str">
        <f t="shared" si="2"/>
        <v>salud</v>
      </c>
      <c r="J18" s="167"/>
    </row>
    <row r="19" spans="2:10">
      <c r="B19" s="166">
        <v>45595</v>
      </c>
      <c r="C19" s="169">
        <f>IFERROR(IF(B19="","",MONTH(B19)),"")</f>
      </c>
      <c r="D19" s="169" t="s">
        <v>367</v>
      </c>
      <c r="E19" s="167"/>
      <c r="G19" s="166">
        <v>45351</v>
      </c>
      <c r="H19" s="169">
        <v>2</v>
      </c>
      <c r="I19" s="339" t="str">
        <f t="shared" si="2"/>
        <v>recreacion</v>
      </c>
      <c r="J19" s="167"/>
    </row>
    <row r="20" spans="2:10">
      <c r="B20" s="166"/>
      <c r="C20" s="169">
        <f>IFERROR(IF(B20="","",MONTH(B20)),"")</f>
      </c>
      <c r="D20" s="169" t="s">
        <v>367</v>
      </c>
      <c r="E20" s="167"/>
      <c r="G20" s="166">
        <v>45351</v>
      </c>
      <c r="H20" s="169">
        <v>2</v>
      </c>
      <c r="I20" s="339" t="str">
        <f t="shared" si="2"/>
        <v>g personales</v>
      </c>
      <c r="J20" s="167"/>
    </row>
    <row r="21" spans="2:10">
      <c r="B21" s="166"/>
      <c r="C21" s="169">
        <f>IFERROR(IF(B21="","",MONTH(B21)),"")</f>
      </c>
      <c r="D21" s="169" t="s">
        <v>367</v>
      </c>
      <c r="E21" s="167"/>
      <c r="G21" s="166">
        <v>45351</v>
      </c>
      <c r="H21" s="169">
        <v>2</v>
      </c>
      <c r="I21" s="339" t="str">
        <f t="shared" si="2"/>
        <v>cumpleaños</v>
      </c>
      <c r="J21" s="167"/>
    </row>
    <row r="22" spans="2:10">
      <c r="B22" s="166"/>
      <c r="C22" s="169">
        <f>IFERROR(IF(B22="","",MONTH(B22)),"")</f>
      </c>
      <c r="D22" s="169" t="s">
        <v>367</v>
      </c>
      <c r="E22" s="167"/>
      <c r="G22" s="166">
        <v>45382</v>
      </c>
      <c r="H22" s="169">
        <v>3</v>
      </c>
      <c r="I22" s="3" t="s">
        <v>278</v>
      </c>
      <c r="J22" s="167"/>
    </row>
    <row r="23" spans="2:10">
      <c r="B23" s="166">
        <v>45565</v>
      </c>
      <c r="C23" s="169">
        <f>IFERROR(IF(B23="","",MONTH(B23)),"")</f>
      </c>
      <c r="D23" s="169" t="s">
        <v>367</v>
      </c>
      <c r="E23" s="167"/>
      <c r="G23" s="166">
        <v>45382</v>
      </c>
      <c r="H23" s="169">
        <v>3</v>
      </c>
      <c r="I23" s="339" t="s">
        <v>285</v>
      </c>
      <c r="J23" s="345"/>
    </row>
    <row r="24" spans="2:10">
      <c r="B24" s="166"/>
      <c r="C24" s="169">
        <f>IFERROR(IF(B24="","",MONTH(B24)),"")</f>
      </c>
      <c r="D24" s="169" t="s">
        <v>367</v>
      </c>
      <c r="E24" s="167"/>
      <c r="G24" s="166">
        <v>45382</v>
      </c>
      <c r="H24" s="169">
        <v>3</v>
      </c>
      <c r="I24" s="339" t="s">
        <v>409</v>
      </c>
      <c r="J24" s="167"/>
    </row>
    <row r="25" spans="2:10">
      <c r="B25" s="166"/>
      <c r="C25" s="169">
        <f>IFERROR(IF(B25="","",MONTH(B25)),"")</f>
      </c>
      <c r="D25" s="169" t="s">
        <v>367</v>
      </c>
      <c r="E25" s="167"/>
      <c r="G25" s="166">
        <v>45382</v>
      </c>
      <c r="H25" s="169">
        <v>3</v>
      </c>
      <c r="I25" s="339" t="s">
        <v>311</v>
      </c>
      <c r="J25" s="167"/>
    </row>
    <row r="26" spans="2:10">
      <c r="B26" s="166"/>
      <c r="C26" s="169">
        <f>IFERROR(IF(B26="","",MONTH(B26)),"")</f>
      </c>
      <c r="D26" s="169" t="s">
        <v>367</v>
      </c>
      <c r="E26" s="167"/>
      <c r="G26" s="166">
        <v>45382</v>
      </c>
      <c r="H26" s="169">
        <v>3</v>
      </c>
      <c r="I26" s="339" t="s">
        <v>402</v>
      </c>
      <c r="J26" s="167"/>
    </row>
    <row r="27" spans="2:10">
      <c r="B27" s="166">
        <v>45534</v>
      </c>
      <c r="C27" s="169">
        <f>IFERROR(IF(B27="","",MONTH(B27)),"")</f>
      </c>
      <c r="D27" s="169" t="s">
        <v>367</v>
      </c>
      <c r="E27" s="167"/>
      <c r="G27" s="166">
        <v>45382</v>
      </c>
      <c r="H27" s="169">
        <v>3</v>
      </c>
      <c r="I27" s="339" t="s">
        <v>410</v>
      </c>
      <c r="J27" s="167"/>
    </row>
    <row r="28" spans="2:10">
      <c r="B28" s="166"/>
      <c r="C28" s="169">
        <f>IFERROR(IF(B28="","",MONTH(B28)),"")</f>
      </c>
      <c r="D28" s="169" t="s">
        <v>367</v>
      </c>
      <c r="E28" s="167"/>
      <c r="G28" s="166">
        <v>45382</v>
      </c>
      <c r="H28" s="169">
        <v>3</v>
      </c>
      <c r="I28" s="339" t="s">
        <v>297</v>
      </c>
      <c r="J28" s="167"/>
    </row>
    <row r="29" spans="2:10">
      <c r="B29" s="166"/>
      <c r="C29" s="169">
        <f>IFERROR(IF(B29="","",MONTH(B29)),"")</f>
      </c>
      <c r="D29" s="169" t="s">
        <v>367</v>
      </c>
      <c r="E29" s="167"/>
      <c r="G29" s="166">
        <v>45322</v>
      </c>
      <c r="H29" s="169">
        <v>1</v>
      </c>
      <c r="I29" s="339" t="str">
        <f>+'hoja de gastos'!A94</f>
        <v>pago deuda</v>
      </c>
      <c r="J29" s="167">
        <f>+'hoja de gastos'!D$94</f>
        <v>3829</v>
      </c>
    </row>
    <row r="30" spans="2:10">
      <c r="B30" s="166"/>
      <c r="C30" s="169">
        <f>IFERROR(IF(B30="","",MONTH(B30)),"")</f>
      </c>
      <c r="D30" s="169" t="s">
        <v>367</v>
      </c>
      <c r="E30" s="167"/>
      <c r="G30" s="166">
        <v>45351</v>
      </c>
      <c r="H30" s="169">
        <v>2</v>
      </c>
      <c r="I30" s="3" t="s">
        <v>416</v>
      </c>
      <c r="J30" s="167"/>
    </row>
    <row r="31" spans="2:10">
      <c r="B31" s="166"/>
      <c r="C31" s="169">
        <f>IFERROR(IF(B31="","",MONTH(B31)),"")</f>
      </c>
      <c r="D31" s="169" t="s">
        <v>367</v>
      </c>
      <c r="E31" s="167"/>
      <c r="G31" s="166">
        <v>45382</v>
      </c>
      <c r="H31" s="169">
        <v>3</v>
      </c>
      <c r="I31" s="3" t="s">
        <v>416</v>
      </c>
      <c r="J31" s="167"/>
    </row>
    <row r="32" spans="2:10">
      <c r="B32" s="166">
        <v>45503</v>
      </c>
      <c r="C32" s="169">
        <f>IFERROR(IF(B32="","",MONTH(B32)),"")</f>
      </c>
      <c r="D32" s="169" t="s">
        <v>367</v>
      </c>
      <c r="E32" s="167"/>
    </row>
    <row r="33" spans="2:5">
      <c r="B33" s="166"/>
      <c r="C33" s="169">
        <f>IFERROR(IF(B33="","",MONTH(B33)),"")</f>
      </c>
      <c r="D33" s="169" t="s">
        <v>367</v>
      </c>
      <c r="E33" s="167"/>
    </row>
    <row r="34" spans="2:5">
      <c r="B34" s="166"/>
      <c r="C34" s="169">
        <f>IFERROR(IF(B34="","",MONTH(B34)),"")</f>
      </c>
      <c r="D34" s="169" t="s">
        <v>367</v>
      </c>
      <c r="E34" s="167"/>
    </row>
    <row r="35" spans="2:5">
      <c r="B35" s="166"/>
      <c r="C35" s="169">
        <f>IFERROR(IF(B35="","",MONTH(B35)),"")</f>
      </c>
      <c r="D35" s="169" t="s">
        <v>367</v>
      </c>
      <c r="E35" s="167"/>
    </row>
    <row r="36" spans="2:5">
      <c r="B36" s="166">
        <v>45473</v>
      </c>
      <c r="C36" s="169">
        <f>IFERROR(IF(B36="","",MONTH(B36)),"")</f>
      </c>
      <c r="D36" s="169" t="s">
        <v>367</v>
      </c>
      <c r="E36" s="167"/>
    </row>
    <row r="37" spans="2:5">
      <c r="B37" s="166"/>
      <c r="C37" s="169">
        <f>IFERROR(IF(B37="","",MONTH(B37)),"")</f>
      </c>
      <c r="D37" s="169" t="s">
        <v>367</v>
      </c>
      <c r="E37" s="167"/>
    </row>
    <row r="38" spans="2:5">
      <c r="B38" s="166"/>
      <c r="C38" s="169">
        <f>IFERROR(IF(B38="","",MONTH(B38)),"")</f>
      </c>
      <c r="D38" s="169" t="s">
        <v>367</v>
      </c>
      <c r="E38" s="167"/>
    </row>
    <row r="39" spans="2:5">
      <c r="B39" s="166"/>
      <c r="C39" s="169">
        <f>IFERROR(IF(B39="","",MONTH(B39)),"")</f>
      </c>
      <c r="D39" s="169" t="s">
        <v>367</v>
      </c>
      <c r="E39" s="167"/>
    </row>
    <row r="40" spans="2:5">
      <c r="B40" s="166">
        <v>45442</v>
      </c>
      <c r="C40" s="169">
        <f>IFERROR(IF(B40="","",MONTH(B40)),"")</f>
      </c>
      <c r="D40" s="169" t="s">
        <v>367</v>
      </c>
      <c r="E40" s="167"/>
    </row>
    <row r="41" spans="2:5">
      <c r="B41" s="166"/>
      <c r="C41" s="169">
        <f>IFERROR(IF(B41="","",MONTH(B41)),"")</f>
      </c>
      <c r="D41" s="169" t="s">
        <v>367</v>
      </c>
      <c r="E41" s="167"/>
    </row>
    <row r="42" spans="2:5">
      <c r="B42" s="166"/>
      <c r="C42" s="169">
        <f>IFERROR(IF(B42="","",MONTH(B42)),"")</f>
      </c>
      <c r="D42" s="169" t="s">
        <v>367</v>
      </c>
      <c r="E42" s="167"/>
    </row>
    <row r="43" spans="2:5">
      <c r="B43" s="166"/>
      <c r="C43" s="169">
        <f>IFERROR(IF(B43="","",MONTH(B43)),"")</f>
      </c>
      <c r="D43" s="169" t="s">
        <v>367</v>
      </c>
      <c r="E43" s="167"/>
    </row>
    <row r="44" spans="2:5">
      <c r="B44" s="166"/>
      <c r="C44" s="169">
        <f>IFERROR(IF(B44="","",MONTH(B44)),"")</f>
      </c>
      <c r="D44" s="169" t="s">
        <v>367</v>
      </c>
      <c r="E44" s="167"/>
    </row>
    <row r="45" spans="2:5">
      <c r="B45" s="166"/>
      <c r="C45" s="169">
        <f>IFERROR(IF(B45="","",MONTH(B45)),"")</f>
      </c>
      <c r="D45" s="169" t="s">
        <v>367</v>
      </c>
      <c r="E45" s="167"/>
    </row>
    <row r="46" spans="2:5">
      <c r="B46" s="166"/>
      <c r="C46" s="169">
        <f>IFERROR(IF(B46="","",MONTH(B46)),"")</f>
      </c>
      <c r="D46" s="169" t="s">
        <v>367</v>
      </c>
      <c r="E46" s="167"/>
    </row>
    <row r="47" spans="2:5">
      <c r="B47" s="166"/>
      <c r="C47" s="169">
        <f>IFERROR(IF(B47="","",MONTH(B47)),"")</f>
      </c>
      <c r="D47" s="169" t="s">
        <v>367</v>
      </c>
      <c r="E47" s="167"/>
    </row>
    <row r="48" spans="2:5">
      <c r="B48" s="166">
        <v>45412</v>
      </c>
      <c r="C48" s="169">
        <f>IFERROR(IF(B48="","",MONTH(B48)),"")</f>
      </c>
      <c r="D48" s="169" t="s">
        <v>367</v>
      </c>
      <c r="E48" s="167"/>
    </row>
    <row r="49" spans="2:5">
      <c r="B49" s="166"/>
      <c r="C49" s="169">
        <f>IFERROR(IF(B49="","",MONTH(B49)),"")</f>
      </c>
      <c r="D49" s="169" t="s">
        <v>367</v>
      </c>
      <c r="E49" s="167"/>
    </row>
    <row r="50" spans="2:5">
      <c r="B50" s="166"/>
      <c r="C50" s="169">
        <f>IFERROR(IF(B50="","",MONTH(B50)),"")</f>
      </c>
      <c r="D50" s="169" t="s">
        <v>367</v>
      </c>
      <c r="E50" s="167"/>
    </row>
    <row r="51" spans="2:5">
      <c r="B51" s="166"/>
      <c r="C51" s="169">
        <f>IFERROR(IF(B51="","",MONTH(B51)),"")</f>
      </c>
      <c r="D51" s="169" t="s">
        <v>367</v>
      </c>
      <c r="E51" s="167"/>
    </row>
    <row r="52" spans="2:5">
      <c r="B52" s="166">
        <v>45382</v>
      </c>
      <c r="C52" s="169">
        <f>IFERROR(IF(B52="","",MONTH(B52)),"")</f>
      </c>
      <c r="D52" s="169" t="s">
        <v>367</v>
      </c>
      <c r="E52" s="167"/>
    </row>
    <row r="53" spans="2:5">
      <c r="B53" s="166"/>
      <c r="C53" s="169">
        <f>IFERROR(IF(B53="","",MONTH(B53)),"")</f>
      </c>
      <c r="D53" s="169" t="s">
        <v>367</v>
      </c>
      <c r="E53" s="167"/>
    </row>
    <row r="54" spans="2:5">
      <c r="B54" s="166"/>
      <c r="C54" s="169">
        <f>IFERROR(IF(B54="","",MONTH(B54)),"")</f>
      </c>
      <c r="D54" s="169" t="s">
        <v>367</v>
      </c>
      <c r="E54" s="167"/>
    </row>
    <row r="55" spans="2:5">
      <c r="B55" s="166"/>
      <c r="C55" s="169">
        <f>IFERROR(IF(B55="","",MONTH(B55)),"")</f>
      </c>
      <c r="D55" s="169" t="s">
        <v>367</v>
      </c>
      <c r="E55" s="167"/>
    </row>
    <row r="56" spans="2:5">
      <c r="B56" s="166"/>
      <c r="C56" s="169">
        <f>IFERROR(IF(B56="","",MONTH(B56)),"")</f>
      </c>
      <c r="D56" s="169" t="s">
        <v>367</v>
      </c>
      <c r="E56" s="167"/>
    </row>
    <row r="57" spans="2:5">
      <c r="B57" s="166">
        <v>45351</v>
      </c>
      <c r="C57" s="169">
        <f>IFERROR(IF(B57="","",MONTH(B57)),"")</f>
      </c>
      <c r="D57" s="169" t="s">
        <v>367</v>
      </c>
      <c r="E57" s="167"/>
    </row>
    <row r="58" spans="2:5">
      <c r="B58" s="166"/>
      <c r="C58" s="169">
        <f>IFERROR(IF(B58="","",MONTH(B58)),"")</f>
      </c>
      <c r="D58" s="169" t="s">
        <v>367</v>
      </c>
      <c r="E58" s="167"/>
    </row>
    <row r="59" spans="2:5">
      <c r="B59" s="166"/>
      <c r="C59" s="169">
        <f>IFERROR(IF(B59="","",MONTH(B59)),"")</f>
      </c>
      <c r="D59" s="169" t="s">
        <v>367</v>
      </c>
      <c r="E59" s="167"/>
    </row>
    <row r="60" spans="2:5">
      <c r="B60" s="166"/>
      <c r="C60" s="169">
        <f>IFERROR(IF(B60="","",MONTH(B60)),"")</f>
      </c>
      <c r="D60" s="169" t="s">
        <v>367</v>
      </c>
      <c r="E60" s="167"/>
    </row>
    <row r="61" spans="2:5">
      <c r="B61" s="166">
        <v>45321</v>
      </c>
      <c r="C61" s="169" t="str">
        <f>MID(fabi!S2,4,2)</f>
        <v>01</v>
      </c>
      <c r="D61" s="169" t="s">
        <v>367</v>
      </c>
      <c r="E61" s="167">
        <f>+fabi!$CD2</f>
        <v>3244.45</v>
      </c>
    </row>
    <row r="62" spans="2:5">
      <c r="B62" s="166"/>
      <c r="C62" s="169" t="str">
        <f>MID(fabi!S3,4,2)</f>
        <v>01</v>
      </c>
      <c r="D62" s="169" t="s">
        <v>367</v>
      </c>
      <c r="E62" s="167">
        <f>+fabi!$CD3</f>
        <v>2629.09</v>
      </c>
    </row>
    <row r="63" spans="2:5">
      <c r="B63" s="166"/>
      <c r="C63" s="169" t="str">
        <f>MID(fabi!S4,4,2)</f>
        <v>01</v>
      </c>
      <c r="D63" s="169" t="s">
        <v>367</v>
      </c>
      <c r="E63" s="167">
        <f>+fabi!$CD4</f>
        <v>2631.3399999999997</v>
      </c>
    </row>
    <row r="64" spans="2:5">
      <c r="B64" s="166"/>
      <c r="C64" s="169" t="str">
        <f>MID(fabi!S5,4,2)</f>
        <v>01</v>
      </c>
      <c r="D64" s="169" t="s">
        <v>367</v>
      </c>
      <c r="E64" s="167">
        <f>+fabi!$CD5</f>
        <v>2682.3</v>
      </c>
    </row>
  </sheetData>
  <mergeCells count="3">
    <mergeCell ref="B4:E4"/>
    <mergeCell ref="G4:J4"/>
    <mergeCell ref="B1:J2"/>
  </mergeCells>
  <conditionalFormatting sqref="I8">
    <cfRule type="containsText" dxfId="57" priority="21" operator="containsText" text="servicios">
      <formula>NOT(ISERROR(SEARCH("servicios",I8)))</formula>
    </cfRule>
  </conditionalFormatting>
  <conditionalFormatting sqref="I9">
    <cfRule type="containsText" dxfId="56" priority="20" operator="containsText" text="alimentos">
      <formula>NOT(ISERROR(SEARCH("alimentos",I9)))</formula>
    </cfRule>
  </conditionalFormatting>
  <conditionalFormatting sqref="I10">
    <cfRule type="containsText" dxfId="55" priority="19" operator="containsText" text="transporte">
      <formula>NOT(ISERROR(SEARCH("transporte",I10)))</formula>
    </cfRule>
  </conditionalFormatting>
  <conditionalFormatting sqref="I11">
    <cfRule type="containsText" dxfId="54" priority="18" operator="containsText" text="salud">
      <formula>NOT(ISERROR(SEARCH("salud",I11)))</formula>
    </cfRule>
  </conditionalFormatting>
  <conditionalFormatting sqref="I12">
    <cfRule type="containsText" dxfId="53" priority="17" operator="containsText" text="recreacion">
      <formula>NOT(ISERROR(SEARCH("recreacion",I12)))</formula>
    </cfRule>
  </conditionalFormatting>
  <conditionalFormatting sqref="I13">
    <cfRule type="containsText" dxfId="52" priority="16" operator="containsText" text="g personales">
      <formula>NOT(ISERROR(SEARCH("g personales",I13)))</formula>
    </cfRule>
  </conditionalFormatting>
  <conditionalFormatting sqref="I14">
    <cfRule type="containsText" dxfId="51" priority="15" operator="containsText" text="cumpleaños">
      <formula>NOT(ISERROR(SEARCH("cumpleaños",I14)))</formula>
    </cfRule>
  </conditionalFormatting>
  <conditionalFormatting sqref="I15">
    <cfRule type="containsText" dxfId="50" priority="14" operator="containsText" text="servicios">
      <formula>NOT(ISERROR(SEARCH("servicios",I15)))</formula>
    </cfRule>
  </conditionalFormatting>
  <conditionalFormatting sqref="I16">
    <cfRule type="containsText" dxfId="49" priority="13" operator="containsText" text="alimentos">
      <formula>NOT(ISERROR(SEARCH("alimentos",I16)))</formula>
    </cfRule>
  </conditionalFormatting>
  <conditionalFormatting sqref="I17">
    <cfRule type="containsText" dxfId="48" priority="12" operator="containsText" text="transporte">
      <formula>NOT(ISERROR(SEARCH("transporte",I17)))</formula>
    </cfRule>
  </conditionalFormatting>
  <conditionalFormatting sqref="I18">
    <cfRule type="containsText" dxfId="47" priority="11" operator="containsText" text="salud">
      <formula>NOT(ISERROR(SEARCH("salud",I18)))</formula>
    </cfRule>
  </conditionalFormatting>
  <conditionalFormatting sqref="I19">
    <cfRule type="containsText" dxfId="46" priority="10" operator="containsText" text="recreacion">
      <formula>NOT(ISERROR(SEARCH("recreacion",I19)))</formula>
    </cfRule>
  </conditionalFormatting>
  <conditionalFormatting sqref="I20">
    <cfRule type="containsText" dxfId="45" priority="9" operator="containsText" text="g personales">
      <formula>NOT(ISERROR(SEARCH("g personales",I20)))</formula>
    </cfRule>
  </conditionalFormatting>
  <conditionalFormatting sqref="I21">
    <cfRule type="containsText" dxfId="44" priority="8" operator="containsText" text="cumpleaños">
      <formula>NOT(ISERROR(SEARCH("cumpleaños",I21)))</formula>
    </cfRule>
  </conditionalFormatting>
  <conditionalFormatting sqref="I22">
    <cfRule type="containsText" dxfId="43" priority="7" operator="containsText" text="servicios">
      <formula>NOT(ISERROR(SEARCH("servicios",I22)))</formula>
    </cfRule>
  </conditionalFormatting>
  <conditionalFormatting sqref="I23">
    <cfRule type="containsText" dxfId="42" priority="6" operator="containsText" text="alimentos">
      <formula>NOT(ISERROR(SEARCH("alimentos",I23)))</formula>
    </cfRule>
  </conditionalFormatting>
  <conditionalFormatting sqref="I24">
    <cfRule type="containsText" dxfId="41" priority="5" operator="containsText" text="transporte">
      <formula>NOT(ISERROR(SEARCH("transporte",I24)))</formula>
    </cfRule>
  </conditionalFormatting>
  <conditionalFormatting sqref="I25">
    <cfRule type="containsText" dxfId="40" priority="4" operator="containsText" text="salud">
      <formula>NOT(ISERROR(SEARCH("salud",I25)))</formula>
    </cfRule>
  </conditionalFormatting>
  <conditionalFormatting sqref="I26">
    <cfRule type="containsText" dxfId="39" priority="3" operator="containsText" text="recreacion">
      <formula>NOT(ISERROR(SEARCH("recreacion",I26)))</formula>
    </cfRule>
  </conditionalFormatting>
  <conditionalFormatting sqref="I27">
    <cfRule type="containsText" dxfId="38" priority="2" operator="containsText" text="g personales">
      <formula>NOT(ISERROR(SEARCH("g personales",I27)))</formula>
    </cfRule>
  </conditionalFormatting>
  <conditionalFormatting sqref="I28">
    <cfRule type="containsText" dxfId="37" priority="1" operator="containsText" text="cumpleaños">
      <formula>NOT(ISERROR(SEARCH("cumpleaños",I28)))</formula>
    </cfRule>
  </conditionalFormatting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2:O58"/>
  <sheetViews>
    <sheetView showGridLines="0" workbookViewId="0">
      <selection activeCell="M21" sqref="M21"/>
    </sheetView>
  </sheetViews>
  <sheetFormatPr baseColWidth="10" defaultColWidth="11.44140625" defaultRowHeight="13.8"/>
  <cols>
    <col min="1" max="1" width="2.6640625" style="105" customWidth="1"/>
    <col min="2" max="2" width="15.6640625" style="105" customWidth="1"/>
    <col min="3" max="3" width="12" style="105" customWidth="1"/>
    <col min="4" max="11" width="12.6640625" style="105" customWidth="1"/>
    <col min="12" max="14" width="13.6640625" style="105" bestFit="1" customWidth="1"/>
    <col min="15" max="15" width="12.6640625" style="105" customWidth="1"/>
    <col min="16" max="16384" width="11.44140625" style="105"/>
  </cols>
  <sheetData>
    <row r="2" spans="2:15">
      <c r="B2" s="452" t="s">
        <v>378</v>
      </c>
      <c r="C2" s="171">
        <v>1</v>
      </c>
      <c r="D2" s="171">
        <v>2</v>
      </c>
      <c r="E2" s="171">
        <v>3</v>
      </c>
      <c r="F2" s="171">
        <v>4</v>
      </c>
      <c r="G2" s="171">
        <v>5</v>
      </c>
      <c r="H2" s="171">
        <v>6</v>
      </c>
      <c r="I2" s="171">
        <v>7</v>
      </c>
      <c r="J2" s="171">
        <v>8</v>
      </c>
      <c r="K2" s="171">
        <v>9</v>
      </c>
      <c r="L2" s="171">
        <v>10</v>
      </c>
      <c r="M2" s="171">
        <v>11</v>
      </c>
      <c r="N2" s="171">
        <v>12</v>
      </c>
      <c r="O2" s="452" t="s">
        <v>39</v>
      </c>
    </row>
    <row r="3" spans="2:15">
      <c r="B3" s="453"/>
      <c r="C3" s="172" t="s">
        <v>20</v>
      </c>
      <c r="D3" s="172" t="s">
        <v>21</v>
      </c>
      <c r="E3" s="172" t="s">
        <v>22</v>
      </c>
      <c r="F3" s="172" t="s">
        <v>23</v>
      </c>
      <c r="G3" s="172" t="s">
        <v>24</v>
      </c>
      <c r="H3" s="172" t="s">
        <v>25</v>
      </c>
      <c r="I3" s="173" t="s">
        <v>26</v>
      </c>
      <c r="J3" s="173" t="s">
        <v>27</v>
      </c>
      <c r="K3" s="173" t="s">
        <v>16</v>
      </c>
      <c r="L3" s="173" t="s">
        <v>17</v>
      </c>
      <c r="M3" s="173" t="s">
        <v>18</v>
      </c>
      <c r="N3" s="173" t="s">
        <v>19</v>
      </c>
      <c r="O3" s="453"/>
    </row>
    <row r="4" spans="2:15">
      <c r="B4" s="179" t="s">
        <v>368</v>
      </c>
      <c r="C4" s="177">
        <f>SUMIF(detalle!$C$8:$C$94,concentrado!C$2,detalle!$E$8:$E$94)</f>
      </c>
      <c r="D4" s="177">
        <f>SUMIF(detalle!$C$8:$C$94,concentrado!D$2,detalle!$E$8:$E$94)</f>
      </c>
      <c r="E4" s="177">
        <f>SUMIF(detalle!$C$8:$C$94,concentrado!E$2,detalle!$E$8:$E$94)</f>
      </c>
      <c r="F4" s="177">
        <f>SUMIF(detalle!$C$8:$C$94,concentrado!F$2,detalle!$E$8:$E$94)</f>
      </c>
      <c r="G4" s="177">
        <f>SUMIF(detalle!$C$8:$C$94,concentrado!G$2,detalle!$E$8:$E$94)</f>
      </c>
      <c r="H4" s="177">
        <f>SUMIF(detalle!$C$8:$C$94,concentrado!H$2,detalle!$E$8:$E$94)</f>
      </c>
      <c r="I4" s="177">
        <f>SUMIF(detalle!$C$8:$C$94,concentrado!I$2,detalle!$E$8:$E$94)</f>
      </c>
      <c r="J4" s="177">
        <f>SUMIF(detalle!$C$8:$C$94,concentrado!J$2,detalle!$E$8:$E$94)</f>
      </c>
      <c r="K4" s="177">
        <f>SUMIF(detalle!$C$8:$C$94,concentrado!K$2,detalle!$E$8:$E$94)</f>
      </c>
      <c r="L4" s="177">
        <f>SUMIF(detalle!$C$8:$C$94,concentrado!L$2,detalle!$E$8:$E$94)</f>
      </c>
      <c r="M4" s="177">
        <f>SUMIF(detalle!$C$8:$C$94,concentrado!M$2,detalle!$E$8:$E$94)</f>
      </c>
      <c r="N4" s="177">
        <f>SUMIF(detalle!$C$8:$C$94,concentrado!N$2,detalle!$E$8:$E$94)</f>
      </c>
      <c r="O4" s="177">
        <f ca="1">SUM(C4:N4)</f>
        <v>11187.18</v>
      </c>
    </row>
    <row r="5" spans="2:15">
      <c r="B5" s="179" t="s">
        <v>369</v>
      </c>
      <c r="C5" s="177">
        <f>SUMIF(detalle!$H$8:$H$50,concentrado!C$2,detalle!$J$8:$J$50)</f>
      </c>
      <c r="D5" s="177">
        <f>SUMIF(detalle!$H$8:$H$50,concentrado!D$2,detalle!$J$8:$J$50)</f>
      </c>
      <c r="E5" s="177">
        <f>SUMIF(detalle!$H$8:$H$50,concentrado!E$2,detalle!$J$8:$J$50)</f>
      </c>
      <c r="F5" s="177">
        <f>SUMIF(detalle!$H$8:$H$50,concentrado!F$2,detalle!$J$8:$J$50)</f>
      </c>
      <c r="G5" s="177">
        <f>SUMIF(detalle!$H$8:$H$50,concentrado!G$2,detalle!$J$8:$J$50)</f>
      </c>
      <c r="H5" s="177">
        <f>SUMIF(detalle!$H$8:$H$50,concentrado!H$2,detalle!$J$8:$J$50)</f>
      </c>
      <c r="I5" s="177">
        <f>SUMIF(detalle!$H$8:$H$50,concentrado!I$2,detalle!$J$8:$J$50)</f>
      </c>
      <c r="J5" s="177">
        <f>SUMIF(detalle!$H$8:$H$50,concentrado!J$2,detalle!$J$8:$J$50)</f>
      </c>
      <c r="K5" s="177">
        <f>SUMIF(detalle!$H$8:$H$50,concentrado!K$2,detalle!$J$8:$J$50)</f>
      </c>
      <c r="L5" s="177">
        <f>SUMIF(detalle!$H$8:$H$50,concentrado!L$2,detalle!$J$8:$J$50)</f>
      </c>
      <c r="M5" s="177">
        <f>SUMIF(detalle!$H$8:$H$50,concentrado!M$2,detalle!$J$8:$J$50)</f>
      </c>
      <c r="N5" s="177">
        <f>SUMIF(detalle!$H$8:$H$50,concentrado!N$2,detalle!$J$8:$J$50)</f>
      </c>
      <c r="O5" s="177">
        <f>SUM(C5:N5)</f>
        <v>15342.41</v>
      </c>
    </row>
    <row r="6" spans="2:15">
      <c r="B6" s="179" t="s">
        <v>372</v>
      </c>
      <c r="C6" s="177">
        <f t="shared" ref="C6:N6" si="0">+C4-C5</f>
        <v>-4155.2299999999996</v>
      </c>
      <c r="D6" s="177">
        <f t="shared" ca="1" si="0"/>
        <v>0</v>
      </c>
      <c r="E6" s="177">
        <f t="shared" ca="1" si="0"/>
        <v>0</v>
      </c>
      <c r="F6" s="177">
        <f t="shared" ca="1" si="0"/>
        <v>0</v>
      </c>
      <c r="G6" s="177">
        <f t="shared" ca="1" si="0"/>
        <v>0</v>
      </c>
      <c r="H6" s="177">
        <f t="shared" ca="1" si="0"/>
        <v>0</v>
      </c>
      <c r="I6" s="177">
        <f t="shared" ca="1" si="0"/>
        <v>0</v>
      </c>
      <c r="J6" s="177">
        <f t="shared" ca="1" si="0"/>
        <v>0</v>
      </c>
      <c r="K6" s="177">
        <f t="shared" ca="1" si="0"/>
        <v>0</v>
      </c>
      <c r="L6" s="177">
        <f t="shared" ca="1" si="0"/>
        <v>0</v>
      </c>
      <c r="M6" s="177">
        <f t="shared" ca="1" si="0"/>
        <v>0</v>
      </c>
      <c r="N6" s="177">
        <f t="shared" ca="1" si="0"/>
        <v>0</v>
      </c>
      <c r="O6" s="177">
        <f ca="1">SUM(C6:N6)</f>
        <v>-4155.2299999999996</v>
      </c>
    </row>
    <row r="7" spans="2:15">
      <c r="B7" s="179" t="s">
        <v>373</v>
      </c>
      <c r="C7" s="177">
        <f>+C6</f>
        <v>-4155.2299999999996</v>
      </c>
      <c r="D7" s="177">
        <f ca="1">+C7+D6</f>
        <v>-4155.2299999999996</v>
      </c>
      <c r="E7" s="177">
        <f t="shared" ref="E7:N7" ca="1" si="1">+D7+E6</f>
        <v>-4155.2299999999996</v>
      </c>
      <c r="F7" s="177">
        <f t="shared" ca="1" si="1"/>
        <v>-4155.2299999999996</v>
      </c>
      <c r="G7" s="177">
        <f t="shared" ca="1" si="1"/>
        <v>-4155.2299999999996</v>
      </c>
      <c r="H7" s="177">
        <f t="shared" ca="1" si="1"/>
        <v>-4155.2299999999996</v>
      </c>
      <c r="I7" s="177">
        <f t="shared" ca="1" si="1"/>
        <v>-4155.2299999999996</v>
      </c>
      <c r="J7" s="177">
        <f t="shared" ca="1" si="1"/>
        <v>-4155.2299999999996</v>
      </c>
      <c r="K7" s="177">
        <f t="shared" ca="1" si="1"/>
        <v>-4155.2299999999996</v>
      </c>
      <c r="L7" s="177">
        <f t="shared" ca="1" si="1"/>
        <v>-4155.2299999999996</v>
      </c>
      <c r="M7" s="177">
        <f t="shared" ca="1" si="1"/>
        <v>-4155.2299999999996</v>
      </c>
      <c r="N7" s="177">
        <f t="shared" ca="1" si="1"/>
        <v>-4155.2299999999996</v>
      </c>
      <c r="O7" s="178"/>
    </row>
    <row r="14" spans="2:15">
      <c r="B14" s="174" t="s">
        <v>376</v>
      </c>
      <c r="C14" s="105" t="s">
        <v>375</v>
      </c>
    </row>
    <row r="15" spans="2:15">
      <c r="B15" s="175" t="s">
        <v>367</v>
      </c>
      <c r="C15" s="176"/>
    </row>
    <row r="16" spans="2:15">
      <c r="B16" s="181" t="s">
        <v>280</v>
      </c>
      <c r="C16" s="176">
        <v>10818.92</v>
      </c>
    </row>
    <row r="17" spans="2:3">
      <c r="B17" s="175" t="s">
        <v>379</v>
      </c>
      <c r="C17" s="176">
        <v>10818.92</v>
      </c>
    </row>
    <row r="18" spans="2:3">
      <c r="B18" s="175" t="s">
        <v>377</v>
      </c>
      <c r="C18" s="176">
        <v>10818.92</v>
      </c>
    </row>
    <row r="19" spans="2:3" ht="14.4">
      <c r="B19"/>
      <c r="C19"/>
    </row>
    <row r="20" spans="2:3" ht="14.4">
      <c r="B20"/>
      <c r="C20"/>
    </row>
    <row r="21" spans="2:3" ht="14.4">
      <c r="B21"/>
      <c r="C21"/>
    </row>
    <row r="22" spans="2:3" ht="14.4">
      <c r="B22"/>
      <c r="C22"/>
    </row>
    <row r="23" spans="2:3" ht="14.4">
      <c r="B23"/>
      <c r="C23"/>
    </row>
    <row r="24" spans="2:3" ht="14.4">
      <c r="B24"/>
      <c r="C24"/>
    </row>
    <row r="25" spans="2:3" ht="14.4">
      <c r="B25"/>
      <c r="C25"/>
    </row>
    <row r="26" spans="2:3" ht="14.4">
      <c r="B26"/>
      <c r="C26"/>
    </row>
    <row r="27" spans="2:3" ht="14.4">
      <c r="B27"/>
      <c r="C27"/>
    </row>
    <row r="28" spans="2:3" ht="14.4">
      <c r="B28"/>
      <c r="C28"/>
    </row>
    <row r="29" spans="2:3" ht="14.4">
      <c r="B29"/>
      <c r="C29"/>
    </row>
    <row r="40" spans="2:3">
      <c r="B40" s="175"/>
      <c r="C40" s="176"/>
    </row>
    <row r="41" spans="2:3">
      <c r="B41" s="175"/>
      <c r="C41" s="176"/>
    </row>
    <row r="42" spans="2:3">
      <c r="B42" s="174" t="s">
        <v>376</v>
      </c>
      <c r="C42" s="105" t="s">
        <v>375</v>
      </c>
    </row>
    <row r="43" spans="2:3">
      <c r="B43" s="175" t="s">
        <v>21</v>
      </c>
      <c r="C43" s="342">
        <v>22817.85</v>
      </c>
    </row>
    <row r="44" spans="2:3">
      <c r="B44" s="175" t="s">
        <v>377</v>
      </c>
      <c r="C44" s="342">
        <v>22817.85</v>
      </c>
    </row>
    <row r="45" spans="2:3" ht="14.4">
      <c r="B45"/>
      <c r="C45"/>
    </row>
    <row r="46" spans="2:3" ht="14.4">
      <c r="B46"/>
      <c r="C46"/>
    </row>
    <row r="47" spans="2:3" ht="14.4">
      <c r="B47"/>
      <c r="C47"/>
    </row>
    <row r="48" spans="2:3" ht="14.4">
      <c r="B48"/>
      <c r="C48"/>
    </row>
    <row r="49" spans="2:6" ht="14.4">
      <c r="B49"/>
      <c r="C49"/>
    </row>
    <row r="50" spans="2:6" ht="14.4">
      <c r="B50"/>
      <c r="C50"/>
    </row>
    <row r="51" spans="2:6" ht="14.4">
      <c r="B51"/>
      <c r="C51"/>
    </row>
    <row r="52" spans="2:6" ht="14.4">
      <c r="B52"/>
      <c r="C52"/>
    </row>
    <row r="58" spans="2:6">
      <c r="F58" s="180">
        <f>+GETPIVOTDATA("valor",$B$14)-GETPIVOTDATA("valor",$B$42)</f>
        <v>-11998.929999999998</v>
      </c>
    </row>
  </sheetData>
  <mergeCells count="2">
    <mergeCell ref="B2:B3"/>
    <mergeCell ref="O2:O3"/>
  </mergeCells>
  <conditionalFormatting sqref="C6:N6">
    <cfRule type="iconSet" priority="2">
      <iconSet iconSet="3Arrows">
        <cfvo type="percent" val="0"/>
        <cfvo type="num" val="0"/>
        <cfvo type="num" val="0" gte="0"/>
      </iconSet>
    </cfRule>
  </conditionalFormatting>
  <conditionalFormatting sqref="C7:N7">
    <cfRule type="iconSet" priority="1">
      <iconSet iconSet="3Arrows">
        <cfvo type="percent" val="0"/>
        <cfvo type="num" val="0"/>
        <cfvo type="num" val="0"/>
      </iconSet>
    </cfRule>
  </conditionalFormatting>
  <pageMargins left="0.25" right="0.25" top="0.75" bottom="0.75" header="0.3" footer="0.3"/>
  <pageSetup paperSize="5" scale="59" orientation="landscape" r:id="rId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7"/>
  <sheetViews>
    <sheetView workbookViewId="0">
      <selection sqref="A1:D7"/>
    </sheetView>
  </sheetViews>
  <sheetFormatPr baseColWidth="10" defaultColWidth="11.44140625" defaultRowHeight="23.4"/>
  <cols>
    <col min="1" max="2" width="19.44140625" style="8" bestFit="1" customWidth="1"/>
    <col min="3" max="3" width="16.88671875" style="8" bestFit="1" customWidth="1"/>
    <col min="4" max="4" width="11.88671875" style="5" bestFit="1" customWidth="1"/>
    <col min="5" max="7" width="11.44140625" style="8"/>
    <col min="8" max="8" width="13.33203125" style="8" bestFit="1" customWidth="1"/>
    <col min="9" max="16384" width="11.44140625" style="8"/>
  </cols>
  <sheetData>
    <row r="1" spans="1:4" s="5" customFormat="1">
      <c r="A1" s="4" t="s">
        <v>10</v>
      </c>
      <c r="B1" s="4" t="s">
        <v>11</v>
      </c>
      <c r="C1" s="4" t="s">
        <v>12</v>
      </c>
      <c r="D1" s="4" t="s">
        <v>13</v>
      </c>
    </row>
    <row r="2" spans="1:4">
      <c r="A2" s="6">
        <v>0.01</v>
      </c>
      <c r="B2" s="6">
        <v>25000</v>
      </c>
      <c r="C2" s="6">
        <v>0</v>
      </c>
      <c r="D2" s="7">
        <v>1</v>
      </c>
    </row>
    <row r="3" spans="1:4">
      <c r="A3" s="6">
        <v>25000.01</v>
      </c>
      <c r="B3" s="6">
        <v>50000</v>
      </c>
      <c r="C3" s="6">
        <v>0</v>
      </c>
      <c r="D3" s="7">
        <v>1.1000000000000001</v>
      </c>
    </row>
    <row r="4" spans="1:4">
      <c r="A4" s="6">
        <v>50000.01</v>
      </c>
      <c r="B4" s="6">
        <v>83333.33</v>
      </c>
      <c r="C4" s="6">
        <v>0</v>
      </c>
      <c r="D4" s="7">
        <v>1.5</v>
      </c>
    </row>
    <row r="5" spans="1:4">
      <c r="A5" s="6">
        <v>83333.34</v>
      </c>
      <c r="B5" s="6">
        <v>208333.33</v>
      </c>
      <c r="C5" s="6">
        <v>0</v>
      </c>
      <c r="D5" s="7">
        <v>2</v>
      </c>
    </row>
    <row r="6" spans="1:4">
      <c r="A6" s="6">
        <v>208333.34</v>
      </c>
      <c r="B6" s="6">
        <v>3500000</v>
      </c>
      <c r="C6" s="6">
        <v>0</v>
      </c>
      <c r="D6" s="7">
        <v>2.5</v>
      </c>
    </row>
    <row r="7" spans="1:4">
      <c r="A7" s="6">
        <v>3500000.01</v>
      </c>
      <c r="B7" s="6" t="s">
        <v>30</v>
      </c>
      <c r="C7" s="6">
        <v>0</v>
      </c>
      <c r="D7" s="7">
        <v>2.5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3" customWidth="1" min="5" max="5"/>
    <col width="12" customWidth="1" min="6" max="6"/>
    <col hidden="1" width="13" customWidth="1" min="8" max="8"/>
    <col width="14" customWidth="1" min="10" max="10"/>
    <col width="12" customWidth="1" min="11" max="11"/>
  </cols>
  <sheetData>
    <row r="1">
      <c r="A1" s="1" t="inlineStr">
        <is>
          <t>DASHBOARD — Concentrado CFDI</t>
        </is>
      </c>
    </row>
    <row r="2">
      <c r="A2" s="2" t="inlineStr">
        <is>
          <t>Elige el contribuyente (RFC) y el mes; los indicadores y las gráficas se actualizan solos.</t>
        </is>
      </c>
    </row>
    <row r="4">
      <c r="A4" s="3" t="inlineStr">
        <is>
          <t>Contribuyente (RFC):</t>
        </is>
      </c>
      <c r="C4" s="4" t="inlineStr"/>
    </row>
    <row r="5">
      <c r="A5" s="3" t="inlineStr">
        <is>
          <t>Mes:</t>
        </is>
      </c>
      <c r="C5" s="4" t="n">
        <v>1</v>
      </c>
    </row>
    <row r="7">
      <c r="A7" s="5" t="inlineStr">
        <is>
          <t>Ingresos (percepciones)</t>
        </is>
      </c>
      <c r="B7" s="5" t="inlineStr">
        <is>
          <t>Deducciones</t>
        </is>
      </c>
      <c r="C7" s="5" t="inlineStr">
        <is>
          <t>Balance (neto)</t>
        </is>
      </c>
      <c r="D7" s="5" t="inlineStr">
        <is>
          <t>Comprobantes</t>
        </is>
      </c>
      <c r="E7" s="5" t="inlineStr">
        <is>
          <t>Por revisar</t>
        </is>
      </c>
      <c r="J7" t="inlineStr">
        <is>
          <t>Percepciones</t>
        </is>
      </c>
      <c r="K7">
        <f>INDEX($B$12:$B$23,$C$5)</f>
      </c>
    </row>
    <row r="8">
      <c r="A8" s="6">
        <f>INDEX($B$12:$B$23,$C$5)</f>
      </c>
      <c r="B8" s="6">
        <f>INDEX($C$12:$C$23,$C$5)</f>
      </c>
      <c r="C8" s="6">
        <f>INDEX($D$12:$D$23,$C$5)</f>
      </c>
      <c r="D8" s="7">
        <f>INDEX($E$12:$E$23,$C$5)</f>
      </c>
      <c r="E8" s="7">
        <f>INDEX($F$12:$F$23,$C$5)</f>
      </c>
      <c r="J8" t="inlineStr">
        <is>
          <t>Deducciones</t>
        </is>
      </c>
      <c r="K8">
        <f>INDEX($C$12:$C$23,$C$5)</f>
      </c>
    </row>
    <row r="11">
      <c r="A11" s="8" t="inlineStr">
        <is>
          <t>Mes</t>
        </is>
      </c>
      <c r="B11" s="8" t="inlineStr">
        <is>
          <t>Percepciones</t>
        </is>
      </c>
      <c r="C11" s="8" t="inlineStr">
        <is>
          <t>Deducciones</t>
        </is>
      </c>
      <c r="D11" s="8" t="inlineStr">
        <is>
          <t>Neto</t>
        </is>
      </c>
      <c r="E11" s="8" t="inlineStr">
        <is>
          <t>Comprobantes</t>
        </is>
      </c>
      <c r="F11" s="8" t="inlineStr">
        <is>
          <t>Por revisar</t>
        </is>
      </c>
      <c r="H11" t="inlineStr">
        <is>
          <t>#mes</t>
        </is>
      </c>
    </row>
    <row r="12">
      <c r="A12" s="9" t="inlineStr">
        <is>
          <t>ENE</t>
        </is>
      </c>
      <c r="B12" s="10">
        <f>SUMPRODUCT((--(fabi!$R$2:$R$1000&amp;""=TEXT($H12,"00")))*((($C$4="")+(fabi!$F$2:$F$1000=$C$4))&gt;0)*fabi!$BF$2:$BF$1000)</f>
      </c>
      <c r="C12" s="10">
        <f>SUMPRODUCT((--(fabi!$R$2:$R$1000&amp;""=TEXT($H12,"00")))*((($C$4="")+(fabi!$F$2:$F$1000=$C$4))&gt;0)*fabi!$CA$2:$CA$1000)</f>
      </c>
      <c r="D12" s="10">
        <f>SUMPRODUCT((--(fabi!$R$2:$R$1000&amp;""=TEXT($H12,"00")))*((($C$4="")+(fabi!$F$2:$F$1000=$C$4))&gt;0)*fabi!$CD$2:$CD$1000)</f>
      </c>
      <c r="E12" s="11">
        <f>SUMPRODUCT((--(fabi!$R$2:$R$1000&amp;""=TEXT($H12,"00")))*((($C$4="")+(fabi!$F$2:$F$1000=$C$4))&gt;0))</f>
      </c>
      <c r="F12" s="11">
        <f>SUMPRODUCT((--(fabi!$R$2:$R$1000&amp;""=TEXT($H12,"00")))*((($C$4="")+(fabi!$F$2:$F$1000=$C$4))&gt;0)*(--(fabi!$J$2:$J$1000&lt;&gt;"VIGENTE")))</f>
      </c>
      <c r="H12" t="n">
        <v>1</v>
      </c>
    </row>
    <row r="13">
      <c r="A13" s="9" t="inlineStr">
        <is>
          <t>FEB</t>
        </is>
      </c>
      <c r="B13" s="10">
        <f>SUMPRODUCT((--(fabi!$R$2:$R$1000&amp;""=TEXT($H13,"00")))*((($C$4="")+(fabi!$F$2:$F$1000=$C$4))&gt;0)*fabi!$BF$2:$BF$1000)</f>
      </c>
      <c r="C13" s="10">
        <f>SUMPRODUCT((--(fabi!$R$2:$R$1000&amp;""=TEXT($H13,"00")))*((($C$4="")+(fabi!$F$2:$F$1000=$C$4))&gt;0)*fabi!$CA$2:$CA$1000)</f>
      </c>
      <c r="D13" s="10">
        <f>SUMPRODUCT((--(fabi!$R$2:$R$1000&amp;""=TEXT($H13,"00")))*((($C$4="")+(fabi!$F$2:$F$1000=$C$4))&gt;0)*fabi!$CD$2:$CD$1000)</f>
      </c>
      <c r="E13" s="11">
        <f>SUMPRODUCT((--(fabi!$R$2:$R$1000&amp;""=TEXT($H13,"00")))*((($C$4="")+(fabi!$F$2:$F$1000=$C$4))&gt;0))</f>
      </c>
      <c r="F13" s="11">
        <f>SUMPRODUCT((--(fabi!$R$2:$R$1000&amp;""=TEXT($H13,"00")))*((($C$4="")+(fabi!$F$2:$F$1000=$C$4))&gt;0)*(--(fabi!$J$2:$J$1000&lt;&gt;"VIGENTE")))</f>
      </c>
      <c r="H13" t="n">
        <v>2</v>
      </c>
    </row>
    <row r="14">
      <c r="A14" s="9" t="inlineStr">
        <is>
          <t>MZO</t>
        </is>
      </c>
      <c r="B14" s="10">
        <f>SUMPRODUCT((--(fabi!$R$2:$R$1000&amp;""=TEXT($H14,"00")))*((($C$4="")+(fabi!$F$2:$F$1000=$C$4))&gt;0)*fabi!$BF$2:$BF$1000)</f>
      </c>
      <c r="C14" s="10">
        <f>SUMPRODUCT((--(fabi!$R$2:$R$1000&amp;""=TEXT($H14,"00")))*((($C$4="")+(fabi!$F$2:$F$1000=$C$4))&gt;0)*fabi!$CA$2:$CA$1000)</f>
      </c>
      <c r="D14" s="10">
        <f>SUMPRODUCT((--(fabi!$R$2:$R$1000&amp;""=TEXT($H14,"00")))*((($C$4="")+(fabi!$F$2:$F$1000=$C$4))&gt;0)*fabi!$CD$2:$CD$1000)</f>
      </c>
      <c r="E14" s="11">
        <f>SUMPRODUCT((--(fabi!$R$2:$R$1000&amp;""=TEXT($H14,"00")))*((($C$4="")+(fabi!$F$2:$F$1000=$C$4))&gt;0))</f>
      </c>
      <c r="F14" s="11">
        <f>SUMPRODUCT((--(fabi!$R$2:$R$1000&amp;""=TEXT($H14,"00")))*((($C$4="")+(fabi!$F$2:$F$1000=$C$4))&gt;0)*(--(fabi!$J$2:$J$1000&lt;&gt;"VIGENTE")))</f>
      </c>
      <c r="H14" t="n">
        <v>3</v>
      </c>
    </row>
    <row r="15">
      <c r="A15" s="9" t="inlineStr">
        <is>
          <t>ABR</t>
        </is>
      </c>
      <c r="B15" s="10">
        <f>SUMPRODUCT((--(fabi!$R$2:$R$1000&amp;""=TEXT($H15,"00")))*((($C$4="")+(fabi!$F$2:$F$1000=$C$4))&gt;0)*fabi!$BF$2:$BF$1000)</f>
      </c>
      <c r="C15" s="10">
        <f>SUMPRODUCT((--(fabi!$R$2:$R$1000&amp;""=TEXT($H15,"00")))*((($C$4="")+(fabi!$F$2:$F$1000=$C$4))&gt;0)*fabi!$CA$2:$CA$1000)</f>
      </c>
      <c r="D15" s="10">
        <f>SUMPRODUCT((--(fabi!$R$2:$R$1000&amp;""=TEXT($H15,"00")))*((($C$4="")+(fabi!$F$2:$F$1000=$C$4))&gt;0)*fabi!$CD$2:$CD$1000)</f>
      </c>
      <c r="E15" s="11">
        <f>SUMPRODUCT((--(fabi!$R$2:$R$1000&amp;""=TEXT($H15,"00")))*((($C$4="")+(fabi!$F$2:$F$1000=$C$4))&gt;0))</f>
      </c>
      <c r="F15" s="11">
        <f>SUMPRODUCT((--(fabi!$R$2:$R$1000&amp;""=TEXT($H15,"00")))*((($C$4="")+(fabi!$F$2:$F$1000=$C$4))&gt;0)*(--(fabi!$J$2:$J$1000&lt;&gt;"VIGENTE")))</f>
      </c>
      <c r="H15" t="n">
        <v>4</v>
      </c>
    </row>
    <row r="16">
      <c r="A16" s="9" t="inlineStr">
        <is>
          <t>MAY</t>
        </is>
      </c>
      <c r="B16" s="10">
        <f>SUMPRODUCT((--(fabi!$R$2:$R$1000&amp;""=TEXT($H16,"00")))*((($C$4="")+(fabi!$F$2:$F$1000=$C$4))&gt;0)*fabi!$BF$2:$BF$1000)</f>
      </c>
      <c r="C16" s="10">
        <f>SUMPRODUCT((--(fabi!$R$2:$R$1000&amp;""=TEXT($H16,"00")))*((($C$4="")+(fabi!$F$2:$F$1000=$C$4))&gt;0)*fabi!$CA$2:$CA$1000)</f>
      </c>
      <c r="D16" s="10">
        <f>SUMPRODUCT((--(fabi!$R$2:$R$1000&amp;""=TEXT($H16,"00")))*((($C$4="")+(fabi!$F$2:$F$1000=$C$4))&gt;0)*fabi!$CD$2:$CD$1000)</f>
      </c>
      <c r="E16" s="11">
        <f>SUMPRODUCT((--(fabi!$R$2:$R$1000&amp;""=TEXT($H16,"00")))*((($C$4="")+(fabi!$F$2:$F$1000=$C$4))&gt;0))</f>
      </c>
      <c r="F16" s="11">
        <f>SUMPRODUCT((--(fabi!$R$2:$R$1000&amp;""=TEXT($H16,"00")))*((($C$4="")+(fabi!$F$2:$F$1000=$C$4))&gt;0)*(--(fabi!$J$2:$J$1000&lt;&gt;"VIGENTE")))</f>
      </c>
      <c r="H16" t="n">
        <v>5</v>
      </c>
    </row>
    <row r="17">
      <c r="A17" s="9" t="inlineStr">
        <is>
          <t>JUN</t>
        </is>
      </c>
      <c r="B17" s="10">
        <f>SUMPRODUCT((--(fabi!$R$2:$R$1000&amp;""=TEXT($H17,"00")))*((($C$4="")+(fabi!$F$2:$F$1000=$C$4))&gt;0)*fabi!$BF$2:$BF$1000)</f>
      </c>
      <c r="C17" s="10">
        <f>SUMPRODUCT((--(fabi!$R$2:$R$1000&amp;""=TEXT($H17,"00")))*((($C$4="")+(fabi!$F$2:$F$1000=$C$4))&gt;0)*fabi!$CA$2:$CA$1000)</f>
      </c>
      <c r="D17" s="10">
        <f>SUMPRODUCT((--(fabi!$R$2:$R$1000&amp;""=TEXT($H17,"00")))*((($C$4="")+(fabi!$F$2:$F$1000=$C$4))&gt;0)*fabi!$CD$2:$CD$1000)</f>
      </c>
      <c r="E17" s="11">
        <f>SUMPRODUCT((--(fabi!$R$2:$R$1000&amp;""=TEXT($H17,"00")))*((($C$4="")+(fabi!$F$2:$F$1000=$C$4))&gt;0))</f>
      </c>
      <c r="F17" s="11">
        <f>SUMPRODUCT((--(fabi!$R$2:$R$1000&amp;""=TEXT($H17,"00")))*((($C$4="")+(fabi!$F$2:$F$1000=$C$4))&gt;0)*(--(fabi!$J$2:$J$1000&lt;&gt;"VIGENTE")))</f>
      </c>
      <c r="H17" t="n">
        <v>6</v>
      </c>
    </row>
    <row r="18">
      <c r="A18" s="9" t="inlineStr">
        <is>
          <t>JUL</t>
        </is>
      </c>
      <c r="B18" s="10">
        <f>SUMPRODUCT((--(fabi!$R$2:$R$1000&amp;""=TEXT($H18,"00")))*((($C$4="")+(fabi!$F$2:$F$1000=$C$4))&gt;0)*fabi!$BF$2:$BF$1000)</f>
      </c>
      <c r="C18" s="10">
        <f>SUMPRODUCT((--(fabi!$R$2:$R$1000&amp;""=TEXT($H18,"00")))*((($C$4="")+(fabi!$F$2:$F$1000=$C$4))&gt;0)*fabi!$CA$2:$CA$1000)</f>
      </c>
      <c r="D18" s="10">
        <f>SUMPRODUCT((--(fabi!$R$2:$R$1000&amp;""=TEXT($H18,"00")))*((($C$4="")+(fabi!$F$2:$F$1000=$C$4))&gt;0)*fabi!$CD$2:$CD$1000)</f>
      </c>
      <c r="E18" s="11">
        <f>SUMPRODUCT((--(fabi!$R$2:$R$1000&amp;""=TEXT($H18,"00")))*((($C$4="")+(fabi!$F$2:$F$1000=$C$4))&gt;0))</f>
      </c>
      <c r="F18" s="11">
        <f>SUMPRODUCT((--(fabi!$R$2:$R$1000&amp;""=TEXT($H18,"00")))*((($C$4="")+(fabi!$F$2:$F$1000=$C$4))&gt;0)*(--(fabi!$J$2:$J$1000&lt;&gt;"VIGENTE")))</f>
      </c>
      <c r="H18" t="n">
        <v>7</v>
      </c>
    </row>
    <row r="19">
      <c r="A19" s="9" t="inlineStr">
        <is>
          <t>AGO</t>
        </is>
      </c>
      <c r="B19" s="10">
        <f>SUMPRODUCT((--(fabi!$R$2:$R$1000&amp;""=TEXT($H19,"00")))*((($C$4="")+(fabi!$F$2:$F$1000=$C$4))&gt;0)*fabi!$BF$2:$BF$1000)</f>
      </c>
      <c r="C19" s="10">
        <f>SUMPRODUCT((--(fabi!$R$2:$R$1000&amp;""=TEXT($H19,"00")))*((($C$4="")+(fabi!$F$2:$F$1000=$C$4))&gt;0)*fabi!$CA$2:$CA$1000)</f>
      </c>
      <c r="D19" s="10">
        <f>SUMPRODUCT((--(fabi!$R$2:$R$1000&amp;""=TEXT($H19,"00")))*((($C$4="")+(fabi!$F$2:$F$1000=$C$4))&gt;0)*fabi!$CD$2:$CD$1000)</f>
      </c>
      <c r="E19" s="11">
        <f>SUMPRODUCT((--(fabi!$R$2:$R$1000&amp;""=TEXT($H19,"00")))*((($C$4="")+(fabi!$F$2:$F$1000=$C$4))&gt;0))</f>
      </c>
      <c r="F19" s="11">
        <f>SUMPRODUCT((--(fabi!$R$2:$R$1000&amp;""=TEXT($H19,"00")))*((($C$4="")+(fabi!$F$2:$F$1000=$C$4))&gt;0)*(--(fabi!$J$2:$J$1000&lt;&gt;"VIGENTE")))</f>
      </c>
      <c r="H19" t="n">
        <v>8</v>
      </c>
    </row>
    <row r="20">
      <c r="A20" s="9" t="inlineStr">
        <is>
          <t>SEPT</t>
        </is>
      </c>
      <c r="B20" s="10">
        <f>SUMPRODUCT((--(fabi!$R$2:$R$1000&amp;""=TEXT($H20,"00")))*((($C$4="")+(fabi!$F$2:$F$1000=$C$4))&gt;0)*fabi!$BF$2:$BF$1000)</f>
      </c>
      <c r="C20" s="10">
        <f>SUMPRODUCT((--(fabi!$R$2:$R$1000&amp;""=TEXT($H20,"00")))*((($C$4="")+(fabi!$F$2:$F$1000=$C$4))&gt;0)*fabi!$CA$2:$CA$1000)</f>
      </c>
      <c r="D20" s="10">
        <f>SUMPRODUCT((--(fabi!$R$2:$R$1000&amp;""=TEXT($H20,"00")))*((($C$4="")+(fabi!$F$2:$F$1000=$C$4))&gt;0)*fabi!$CD$2:$CD$1000)</f>
      </c>
      <c r="E20" s="11">
        <f>SUMPRODUCT((--(fabi!$R$2:$R$1000&amp;""=TEXT($H20,"00")))*((($C$4="")+(fabi!$F$2:$F$1000=$C$4))&gt;0))</f>
      </c>
      <c r="F20" s="11">
        <f>SUMPRODUCT((--(fabi!$R$2:$R$1000&amp;""=TEXT($H20,"00")))*((($C$4="")+(fabi!$F$2:$F$1000=$C$4))&gt;0)*(--(fabi!$J$2:$J$1000&lt;&gt;"VIGENTE")))</f>
      </c>
      <c r="H20" t="n">
        <v>9</v>
      </c>
    </row>
    <row r="21">
      <c r="A21" s="9" t="inlineStr">
        <is>
          <t>OCT</t>
        </is>
      </c>
      <c r="B21" s="10">
        <f>SUMPRODUCT((--(fabi!$R$2:$R$1000&amp;""=TEXT($H21,"00")))*((($C$4="")+(fabi!$F$2:$F$1000=$C$4))&gt;0)*fabi!$BF$2:$BF$1000)</f>
      </c>
      <c r="C21" s="10">
        <f>SUMPRODUCT((--(fabi!$R$2:$R$1000&amp;""=TEXT($H21,"00")))*((($C$4="")+(fabi!$F$2:$F$1000=$C$4))&gt;0)*fabi!$CA$2:$CA$1000)</f>
      </c>
      <c r="D21" s="10">
        <f>SUMPRODUCT((--(fabi!$R$2:$R$1000&amp;""=TEXT($H21,"00")))*((($C$4="")+(fabi!$F$2:$F$1000=$C$4))&gt;0)*fabi!$CD$2:$CD$1000)</f>
      </c>
      <c r="E21" s="11">
        <f>SUMPRODUCT((--(fabi!$R$2:$R$1000&amp;""=TEXT($H21,"00")))*((($C$4="")+(fabi!$F$2:$F$1000=$C$4))&gt;0))</f>
      </c>
      <c r="F21" s="11">
        <f>SUMPRODUCT((--(fabi!$R$2:$R$1000&amp;""=TEXT($H21,"00")))*((($C$4="")+(fabi!$F$2:$F$1000=$C$4))&gt;0)*(--(fabi!$J$2:$J$1000&lt;&gt;"VIGENTE")))</f>
      </c>
      <c r="H21" t="n">
        <v>10</v>
      </c>
    </row>
    <row r="22">
      <c r="A22" s="9" t="inlineStr">
        <is>
          <t>NOV</t>
        </is>
      </c>
      <c r="B22" s="10">
        <f>SUMPRODUCT((--(fabi!$R$2:$R$1000&amp;""=TEXT($H22,"00")))*((($C$4="")+(fabi!$F$2:$F$1000=$C$4))&gt;0)*fabi!$BF$2:$BF$1000)</f>
      </c>
      <c r="C22" s="10">
        <f>SUMPRODUCT((--(fabi!$R$2:$R$1000&amp;""=TEXT($H22,"00")))*((($C$4="")+(fabi!$F$2:$F$1000=$C$4))&gt;0)*fabi!$CA$2:$CA$1000)</f>
      </c>
      <c r="D22" s="10">
        <f>SUMPRODUCT((--(fabi!$R$2:$R$1000&amp;""=TEXT($H22,"00")))*((($C$4="")+(fabi!$F$2:$F$1000=$C$4))&gt;0)*fabi!$CD$2:$CD$1000)</f>
      </c>
      <c r="E22" s="11">
        <f>SUMPRODUCT((--(fabi!$R$2:$R$1000&amp;""=TEXT($H22,"00")))*((($C$4="")+(fabi!$F$2:$F$1000=$C$4))&gt;0))</f>
      </c>
      <c r="F22" s="11">
        <f>SUMPRODUCT((--(fabi!$R$2:$R$1000&amp;""=TEXT($H22,"00")))*((($C$4="")+(fabi!$F$2:$F$1000=$C$4))&gt;0)*(--(fabi!$J$2:$J$1000&lt;&gt;"VIGENTE")))</f>
      </c>
      <c r="H22" t="n">
        <v>11</v>
      </c>
    </row>
    <row r="23">
      <c r="A23" s="9" t="inlineStr">
        <is>
          <t>DIC</t>
        </is>
      </c>
      <c r="B23" s="10">
        <f>SUMPRODUCT((--(fabi!$R$2:$R$1000&amp;""=TEXT($H23,"00")))*((($C$4="")+(fabi!$F$2:$F$1000=$C$4))&gt;0)*fabi!$BF$2:$BF$1000)</f>
      </c>
      <c r="C23" s="10">
        <f>SUMPRODUCT((--(fabi!$R$2:$R$1000&amp;""=TEXT($H23,"00")))*((($C$4="")+(fabi!$F$2:$F$1000=$C$4))&gt;0)*fabi!$CA$2:$CA$1000)</f>
      </c>
      <c r="D23" s="10">
        <f>SUMPRODUCT((--(fabi!$R$2:$R$1000&amp;""=TEXT($H23,"00")))*((($C$4="")+(fabi!$F$2:$F$1000=$C$4))&gt;0)*fabi!$CD$2:$CD$1000)</f>
      </c>
      <c r="E23" s="11">
        <f>SUMPRODUCT((--(fabi!$R$2:$R$1000&amp;""=TEXT($H23,"00")))*((($C$4="")+(fabi!$F$2:$F$1000=$C$4))&gt;0))</f>
      </c>
      <c r="F23" s="11">
        <f>SUMPRODUCT((--(fabi!$R$2:$R$1000&amp;""=TEXT($H23,"00")))*((($C$4="")+(fabi!$F$2:$F$1000=$C$4))&gt;0)*(--(fabi!$J$2:$J$1000&lt;&gt;"VIGENTE")))</f>
      </c>
      <c r="H23" t="n">
        <v>12</v>
      </c>
    </row>
    <row r="24">
      <c r="A24" s="12" t="inlineStr">
        <is>
          <t>TOTAL</t>
        </is>
      </c>
      <c r="B24" s="13">
        <f>SUM(B12:B23)</f>
      </c>
      <c r="C24" s="13">
        <f>SUM(C12:C23)</f>
      </c>
      <c r="D24" s="13">
        <f>SUM(D12:D23)</f>
      </c>
      <c r="E24" s="14">
        <f>SUM(E12:E23)</f>
      </c>
      <c r="F24" s="14">
        <f>SUM(F12:F23)</f>
      </c>
    </row>
  </sheetData>
  <dataValidations count="2">
    <dataValidation sqref="C5" showDropDown="0" showInputMessage="0" showErrorMessage="0" allowBlank="1" type="list">
      <formula1>"1,2,3,4,5,6,7,8,9,10,11,12"</formula1>
    </dataValidation>
    <dataValidation sqref="C4" showDropDown="0" showInputMessage="0" showErrorMessage="0" allowBlank="1" type="list">
      <formula1>RFCList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0" customWidth="1" min="3" max="3"/>
    <col width="14" customWidth="1" min="4" max="4"/>
    <col width="12" customWidth="1" min="5" max="5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Gastos — Captura (manual o XML)</t>
        </is>
      </c>
    </row>
    <row r="2">
      <c r="A2" s="2" t="inlineStr">
        <is>
          <t>Agrega los renglones/conceptos que necesites. Marca el Mes (1-12), la Categoria (Basico/Lujo/Ahorro), el Importe y el Origen.</t>
        </is>
      </c>
      <c r="H2" s="3" t="inlineStr">
        <is>
          <t>Resumen por categoria</t>
        </is>
      </c>
    </row>
    <row r="3">
      <c r="H3" s="4" t="inlineStr">
        <is>
          <t>Mes:</t>
        </is>
      </c>
      <c r="I3" s="5" t="n">
        <v>1</v>
      </c>
    </row>
    <row r="4">
      <c r="A4" s="6" t="inlineStr">
        <is>
          <t>Mes</t>
        </is>
      </c>
      <c r="B4" s="6" t="inlineStr">
        <is>
          <t>Categoria</t>
        </is>
      </c>
      <c r="C4" s="6" t="inlineStr">
        <is>
          <t>Concepto</t>
        </is>
      </c>
      <c r="D4" s="6" t="inlineStr">
        <is>
          <t>Importe</t>
        </is>
      </c>
      <c r="E4" s="6" t="inlineStr">
        <is>
          <t>Origen</t>
        </is>
      </c>
    </row>
    <row r="5">
      <c r="B5" t="inlineStr">
        <is>
          <t>Basico</t>
        </is>
      </c>
      <c r="C5" t="inlineStr">
        <is>
          <t>Renta / Hipoteca</t>
        </is>
      </c>
      <c r="D5" t="n">
        <v>0</v>
      </c>
      <c r="E5" t="inlineStr">
        <is>
          <t>Manual</t>
        </is>
      </c>
      <c r="H5" s="7" t="inlineStr">
        <is>
          <t>Categoria</t>
        </is>
      </c>
      <c r="I5" s="7" t="inlineStr">
        <is>
          <t>Monto</t>
        </is>
      </c>
      <c r="J5" s="7" t="inlineStr">
        <is>
          <t>% real</t>
        </is>
      </c>
      <c r="K5" s="7" t="inlineStr">
        <is>
          <t>Meta</t>
        </is>
      </c>
    </row>
    <row r="6">
      <c r="B6" t="inlineStr">
        <is>
          <t>Basico</t>
        </is>
      </c>
      <c r="C6" t="inlineStr">
        <is>
          <t>Agua (CESPT)</t>
        </is>
      </c>
      <c r="D6" t="n">
        <v>0</v>
      </c>
      <c r="E6" t="inlineStr">
        <is>
          <t>Manual</t>
        </is>
      </c>
      <c r="H6" s="8" t="inlineStr">
        <is>
          <t>Basico</t>
        </is>
      </c>
      <c r="I6" s="9">
        <f>SUMIFS(Gastos[Importe],Gastos[Categoria],"Basico",Gastos[Mes],$I$3)</f>
      </c>
      <c r="J6" s="10">
        <f>IFERROR(I6/$I$9,0)</f>
      </c>
      <c r="K6" s="11" t="n">
        <v>0.5</v>
      </c>
    </row>
    <row r="7">
      <c r="B7" t="inlineStr">
        <is>
          <t>Basico</t>
        </is>
      </c>
      <c r="C7" t="inlineStr">
        <is>
          <t>Luz (CFE)</t>
        </is>
      </c>
      <c r="D7" t="n">
        <v>0</v>
      </c>
      <c r="E7" t="inlineStr">
        <is>
          <t>Manual</t>
        </is>
      </c>
      <c r="H7" s="8" t="inlineStr">
        <is>
          <t>Lujo</t>
        </is>
      </c>
      <c r="I7" s="9">
        <f>SUMIFS(Gastos[Importe],Gastos[Categoria],"Lujo",Gastos[Mes],$I$3)</f>
      </c>
      <c r="J7" s="10">
        <f>IFERROR(I7/$I$9,0)</f>
      </c>
      <c r="K7" s="11" t="n">
        <v>0.2</v>
      </c>
    </row>
    <row r="8">
      <c r="B8" t="inlineStr">
        <is>
          <t>Basico</t>
        </is>
      </c>
      <c r="C8" t="inlineStr">
        <is>
          <t>Gas</t>
        </is>
      </c>
      <c r="D8" t="n">
        <v>0</v>
      </c>
      <c r="E8" t="inlineStr">
        <is>
          <t>Manual</t>
        </is>
      </c>
      <c r="H8" s="8" t="inlineStr">
        <is>
          <t>Ahorro</t>
        </is>
      </c>
      <c r="I8" s="9">
        <f>SUMIFS(Gastos[Importe],Gastos[Categoria],"Ahorro",Gastos[Mes],$I$3)</f>
      </c>
      <c r="J8" s="10">
        <f>IFERROR(I8/$I$9,0)</f>
      </c>
      <c r="K8" s="11" t="n">
        <v>0.3</v>
      </c>
    </row>
    <row r="9">
      <c r="B9" t="inlineStr">
        <is>
          <t>Basico</t>
        </is>
      </c>
      <c r="C9" t="inlineStr">
        <is>
          <t>Internet</t>
        </is>
      </c>
      <c r="D9" t="n">
        <v>0</v>
      </c>
      <c r="E9" t="inlineStr">
        <is>
          <t>Manual</t>
        </is>
      </c>
      <c r="H9" s="12" t="inlineStr">
        <is>
          <t>TOTAL</t>
        </is>
      </c>
      <c r="I9" s="13">
        <f>SUM(I6:I8)</f>
      </c>
    </row>
    <row r="10">
      <c r="B10" t="inlineStr">
        <is>
          <t>Basico</t>
        </is>
      </c>
      <c r="C10" t="inlineStr">
        <is>
          <t>Telefono / Recargas</t>
        </is>
      </c>
      <c r="D10" t="n">
        <v>0</v>
      </c>
      <c r="E10" t="inlineStr">
        <is>
          <t>Manual</t>
        </is>
      </c>
    </row>
    <row r="11">
      <c r="B11" t="inlineStr">
        <is>
          <t>Basico</t>
        </is>
      </c>
      <c r="C11" t="inlineStr">
        <is>
          <t>Mantenimiento privada</t>
        </is>
      </c>
      <c r="D11" t="n">
        <v>0</v>
      </c>
      <c r="E11" t="inlineStr">
        <is>
          <t>Manual</t>
        </is>
      </c>
    </row>
    <row r="12">
      <c r="B12" t="inlineStr">
        <is>
          <t>Basico</t>
        </is>
      </c>
      <c r="C12" t="inlineStr">
        <is>
          <t>Predial</t>
        </is>
      </c>
      <c r="D12" t="n">
        <v>0</v>
      </c>
      <c r="E12" t="inlineStr">
        <is>
          <t>Manual</t>
        </is>
      </c>
    </row>
    <row r="13">
      <c r="B13" t="inlineStr">
        <is>
          <t>Basico</t>
        </is>
      </c>
      <c r="C13" t="inlineStr">
        <is>
          <t>Despensa / Supermercado</t>
        </is>
      </c>
      <c r="D13" t="n">
        <v>0</v>
      </c>
      <c r="E13" t="inlineStr">
        <is>
          <t>Manual</t>
        </is>
      </c>
    </row>
    <row r="14">
      <c r="B14" t="inlineStr">
        <is>
          <t>Basico</t>
        </is>
      </c>
      <c r="C14" t="inlineStr">
        <is>
          <t>Mercado</t>
        </is>
      </c>
      <c r="D14" t="n">
        <v>0</v>
      </c>
      <c r="E14" t="inlineStr">
        <is>
          <t>Manual</t>
        </is>
      </c>
    </row>
    <row r="15">
      <c r="B15" t="inlineStr">
        <is>
          <t>Basico</t>
        </is>
      </c>
      <c r="C15" t="inlineStr">
        <is>
          <t>Transporte / Pasajes</t>
        </is>
      </c>
      <c r="D15" t="n">
        <v>0</v>
      </c>
      <c r="E15" t="inlineStr">
        <is>
          <t>Manual</t>
        </is>
      </c>
    </row>
    <row r="16">
      <c r="B16" t="inlineStr">
        <is>
          <t>Basico</t>
        </is>
      </c>
      <c r="C16" t="inlineStr">
        <is>
          <t>Salud / Medicamentos</t>
        </is>
      </c>
      <c r="D16" t="n">
        <v>0</v>
      </c>
      <c r="E16" t="inlineStr">
        <is>
          <t>Manual</t>
        </is>
      </c>
    </row>
    <row r="17">
      <c r="B17" t="inlineStr">
        <is>
          <t>Basico</t>
        </is>
      </c>
      <c r="C17" t="inlineStr">
        <is>
          <t>Escuela / Colegiaturas</t>
        </is>
      </c>
      <c r="D17" t="n">
        <v>0</v>
      </c>
      <c r="E17" t="inlineStr">
        <is>
          <t>Manual</t>
        </is>
      </c>
    </row>
    <row r="18">
      <c r="B18" t="inlineStr">
        <is>
          <t>Lujo</t>
        </is>
      </c>
      <c r="C18" t="inlineStr">
        <is>
          <t>Restaurantes / Comidas</t>
        </is>
      </c>
      <c r="D18" t="n">
        <v>0</v>
      </c>
      <c r="E18" t="inlineStr">
        <is>
          <t>Manual</t>
        </is>
      </c>
    </row>
    <row r="19">
      <c r="B19" t="inlineStr">
        <is>
          <t>Lujo</t>
        </is>
      </c>
      <c r="C19" t="inlineStr">
        <is>
          <t>Cine / Entretenimiento</t>
        </is>
      </c>
      <c r="D19" t="n">
        <v>0</v>
      </c>
      <c r="E19" t="inlineStr">
        <is>
          <t>Manual</t>
        </is>
      </c>
    </row>
    <row r="20">
      <c r="B20" t="inlineStr">
        <is>
          <t>Lujo</t>
        </is>
      </c>
      <c r="C20" t="inlineStr">
        <is>
          <t>Ropa / Cosmeticos</t>
        </is>
      </c>
      <c r="D20" t="n">
        <v>0</v>
      </c>
      <c r="E20" t="inlineStr">
        <is>
          <t>Manual</t>
        </is>
      </c>
    </row>
    <row r="21">
      <c r="B21" t="inlineStr">
        <is>
          <t>Lujo</t>
        </is>
      </c>
      <c r="C21" t="inlineStr">
        <is>
          <t>Libros / Cafe / Golosinas</t>
        </is>
      </c>
      <c r="D21" t="n">
        <v>0</v>
      </c>
      <c r="E21" t="inlineStr">
        <is>
          <t>Manual</t>
        </is>
      </c>
    </row>
    <row r="22">
      <c r="B22" t="inlineStr">
        <is>
          <t>Lujo</t>
        </is>
      </c>
      <c r="C22" t="inlineStr">
        <is>
          <t>Mascotas / Veterinario</t>
        </is>
      </c>
      <c r="D22" t="n">
        <v>0</v>
      </c>
      <c r="E22" t="inlineStr">
        <is>
          <t>Manual</t>
        </is>
      </c>
    </row>
    <row r="23">
      <c r="B23" t="inlineStr">
        <is>
          <t>Lujo</t>
        </is>
      </c>
      <c r="C23" t="inlineStr">
        <is>
          <t>Viajes / Hotel</t>
        </is>
      </c>
      <c r="D23" t="n">
        <v>0</v>
      </c>
      <c r="E23" t="inlineStr">
        <is>
          <t>Manual</t>
        </is>
      </c>
    </row>
    <row r="24">
      <c r="B24" t="inlineStr">
        <is>
          <t>Lujo</t>
        </is>
      </c>
      <c r="C24" t="inlineStr">
        <is>
          <t>Cumpleanos / Regalos</t>
        </is>
      </c>
      <c r="D24" t="n">
        <v>0</v>
      </c>
      <c r="E24" t="inlineStr">
        <is>
          <t>Manual</t>
        </is>
      </c>
    </row>
    <row r="25">
      <c r="B25" t="inlineStr">
        <is>
          <t>Ahorro</t>
        </is>
      </c>
      <c r="C25" t="inlineStr">
        <is>
          <t>Tarjeta de credito</t>
        </is>
      </c>
      <c r="D25" t="n">
        <v>0</v>
      </c>
      <c r="E25" t="inlineStr">
        <is>
          <t>Manual</t>
        </is>
      </c>
    </row>
    <row r="26">
      <c r="B26" t="inlineStr">
        <is>
          <t>Ahorro</t>
        </is>
      </c>
      <c r="C26" t="inlineStr">
        <is>
          <t>Prestamo personal</t>
        </is>
      </c>
      <c r="D26" t="n">
        <v>0</v>
      </c>
      <c r="E26" t="inlineStr">
        <is>
          <t>Manual</t>
        </is>
      </c>
    </row>
    <row r="27">
      <c r="B27" t="inlineStr">
        <is>
          <t>Ahorro</t>
        </is>
      </c>
      <c r="C27" t="inlineStr">
        <is>
          <t>Pago a capital / Empenos</t>
        </is>
      </c>
      <c r="D27" t="n">
        <v>0</v>
      </c>
      <c r="E27" t="inlineStr">
        <is>
          <t>Manual</t>
        </is>
      </c>
    </row>
    <row r="28">
      <c r="B28" t="inlineStr">
        <is>
          <t>Ahorro</t>
        </is>
      </c>
      <c r="C28" t="inlineStr">
        <is>
          <t>Ahorro / Fondo emergencia</t>
        </is>
      </c>
      <c r="D28" t="n">
        <v>0</v>
      </c>
      <c r="E28" t="inlineStr">
        <is>
          <t>Manual</t>
        </is>
      </c>
    </row>
  </sheetData>
  <dataValidations count="4">
    <dataValidation sqref="B5:B28" showDropDown="0" showInputMessage="0" showErrorMessage="0" allowBlank="1" type="list">
      <formula1>"Basico,Lujo,Ahorro"</formula1>
    </dataValidation>
    <dataValidation sqref="E5:E28" showDropDown="0" showInputMessage="0" showErrorMessage="0" allowBlank="1" type="list">
      <formula1>"Manual,XML"</formula1>
    </dataValidation>
    <dataValidation sqref="A5:A28" showDropDown="0" showInputMessage="0" showErrorMessage="0" allowBlank="1" type="list">
      <formula1>"1,2,3,4,5,6,7,8,9,10,11,12"</formula1>
    </dataValidation>
    <dataValidation sqref="I3" showDropDown="0" showInputMessage="0" showErrorMessage="0" allowBlank="1" type="list">
      <formula1>"1,2,3,4,5,6,7,8,9,10,11,12"</formula1>
    </dataValidation>
  </dataValidation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6</vt:i4>
      </vt:variant>
    </vt:vector>
  </HeadingPairs>
  <TitlesOfParts>
    <vt:vector size="16" baseType="lpstr">
      <vt:lpstr>DASHBOARD</vt:lpstr>
      <vt:lpstr>fabi</vt:lpstr>
      <vt:lpstr>ingresos</vt:lpstr>
      <vt:lpstr>hoja de gastos</vt:lpstr>
      <vt:lpstr>presupuesto</vt:lpstr>
      <vt:lpstr>REGLA DE ORO</vt:lpstr>
      <vt:lpstr>detalle</vt:lpstr>
      <vt:lpstr>concentrado</vt:lpstr>
      <vt:lpstr>tabulador</vt:lpstr>
      <vt:lpstr>Gastos captura</vt:lpstr>
      <vt:lpstr>entradas</vt:lpstr>
      <vt:lpstr>gastos</vt:lpstr>
      <vt:lpstr>ingresos</vt:lpstr>
      <vt:lpstr>salidas</vt:lpstr>
      <vt:lpstr>salidas1</vt:lpstr>
      <vt:lpstr>tarifa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murillo</dc:creator>
  <cp:lastModifiedBy>DELL</cp:lastModifiedBy>
  <cp:lastPrinted>2024-04-02T21:24:58Z</cp:lastPrinted>
  <dcterms:created xsi:type="dcterms:W3CDTF">2022-02-11T04:55:45Z</dcterms:created>
  <dcterms:modified xsi:type="dcterms:W3CDTF">2026-07-23T04:46:00Z</dcterms:modified>
</cp:coreProperties>
</file>